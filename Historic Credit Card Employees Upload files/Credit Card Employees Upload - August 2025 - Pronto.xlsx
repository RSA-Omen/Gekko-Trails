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ekkos.sharepoint.com/sites/GekFinance/Bank/CreditCards/2026/"/>
    </mc:Choice>
  </mc:AlternateContent>
  <xr:revisionPtr revIDLastSave="2202" documentId="8_{506D1F53-49E1-47AF-932E-DE532582A582}" xr6:coauthVersionLast="47" xr6:coauthVersionMax="47" xr10:uidLastSave="{8A6F7CDC-25B6-4E57-A71C-2D417C47C925}"/>
  <bookViews>
    <workbookView xWindow="28680" yWindow="-120" windowWidth="29040" windowHeight="15840" tabRatio="754" firstSheet="15" activeTab="23" xr2:uid="{00000000-000D-0000-FFFF-FFFF00000000}"/>
  </bookViews>
  <sheets>
    <sheet name="Header" sheetId="38" r:id="rId1"/>
    <sheet name="T Bell" sheetId="41" r:id="rId2"/>
    <sheet name="S Baker" sheetId="103" r:id="rId3"/>
    <sheet name="S Barclay" sheetId="123" r:id="rId4"/>
    <sheet name="M Brown" sheetId="92" r:id="rId5"/>
    <sheet name="M Donadio" sheetId="46" r:id="rId6"/>
    <sheet name="L DUva" sheetId="82" r:id="rId7"/>
    <sheet name="A Edmondston" sheetId="48" r:id="rId8"/>
    <sheet name="M Gort" sheetId="116" r:id="rId9"/>
    <sheet name="N Grigg" sheetId="52" r:id="rId10"/>
    <sheet name="S Jenkins" sheetId="112" r:id="rId11"/>
    <sheet name="A Lanyon" sheetId="121" r:id="rId12"/>
    <sheet name="E Lewis-Gray" sheetId="60" r:id="rId13"/>
    <sheet name="S Lewis-Gray" sheetId="59" r:id="rId14"/>
    <sheet name="W Lodge" sheetId="107" r:id="rId15"/>
    <sheet name="S McLaughlin" sheetId="132" r:id="rId16"/>
    <sheet name="M Ntombela" sheetId="95" r:id="rId17"/>
    <sheet name="M Prendergast" sheetId="129" r:id="rId18"/>
    <sheet name="C Torney" sheetId="124" r:id="rId19"/>
    <sheet name="B Tuncks" sheetId="109" r:id="rId20"/>
    <sheet name="K Rouhan" sheetId="120" r:id="rId21"/>
    <sheet name="M Trenorden" sheetId="70" r:id="rId22"/>
    <sheet name="L VanKollenburg" sheetId="130" r:id="rId23"/>
    <sheet name="B Wraith" sheetId="135" r:id="rId24"/>
    <sheet name="N Zhang" sheetId="127" r:id="rId25"/>
    <sheet name="Full Data" sheetId="96" r:id="rId26"/>
    <sheet name="Pronto layout" sheetId="134" r:id="rId27"/>
  </sheets>
  <externalReferences>
    <externalReference r:id="rId28"/>
  </externalReferences>
  <definedNames>
    <definedName name="_xlnm._FilterDatabase" localSheetId="25" hidden="1">'Full Data'!$A$1:$G$466</definedName>
    <definedName name="_xlnm._FilterDatabase" localSheetId="1" hidden="1">'T Bell'!$A$8:$P$55</definedName>
    <definedName name="TAX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48" l="1"/>
  <c r="R19" i="48" s="1"/>
  <c r="K20" i="48"/>
  <c r="K21" i="48"/>
  <c r="K22" i="48"/>
  <c r="K23" i="48"/>
  <c r="K24" i="48"/>
  <c r="K25" i="48"/>
  <c r="R25" i="48" s="1"/>
  <c r="K26" i="48"/>
  <c r="R26" i="48" s="1"/>
  <c r="K27" i="48"/>
  <c r="R27" i="48" s="1"/>
  <c r="K28" i="48"/>
  <c r="R28" i="48" s="1"/>
  <c r="K29" i="48"/>
  <c r="R29" i="48" s="1"/>
  <c r="K30" i="48"/>
  <c r="K31" i="48"/>
  <c r="K32" i="48"/>
  <c r="K33" i="48"/>
  <c r="R33" i="48" s="1"/>
  <c r="K34" i="48"/>
  <c r="R34" i="48" s="1"/>
  <c r="K35" i="48"/>
  <c r="K18" i="48"/>
  <c r="R18" i="48" s="1"/>
  <c r="M16" i="48"/>
  <c r="K16" i="48"/>
  <c r="R16" i="48" s="1"/>
  <c r="J16" i="48"/>
  <c r="C15" i="48"/>
  <c r="C16" i="48"/>
  <c r="C20" i="48"/>
  <c r="C19" i="48"/>
  <c r="M19" i="48" s="1"/>
  <c r="J19" i="48"/>
  <c r="K11" i="135"/>
  <c r="K12" i="135"/>
  <c r="K13" i="135"/>
  <c r="K14" i="135"/>
  <c r="K15" i="135"/>
  <c r="K16" i="135"/>
  <c r="K17" i="135"/>
  <c r="R17" i="135" s="1"/>
  <c r="K18" i="135"/>
  <c r="R18" i="135" s="1"/>
  <c r="K19" i="135"/>
  <c r="K20" i="135"/>
  <c r="K21" i="135"/>
  <c r="K22" i="135"/>
  <c r="K23" i="135"/>
  <c r="K24" i="135"/>
  <c r="K25" i="135"/>
  <c r="R25" i="135" s="1"/>
  <c r="K26" i="135"/>
  <c r="R26" i="135" s="1"/>
  <c r="K27" i="135"/>
  <c r="K28" i="135"/>
  <c r="K29" i="135"/>
  <c r="K30" i="135"/>
  <c r="K31" i="135"/>
  <c r="K32" i="135"/>
  <c r="K33" i="135"/>
  <c r="R33" i="135" s="1"/>
  <c r="K34" i="135"/>
  <c r="R34" i="135" s="1"/>
  <c r="K35" i="135"/>
  <c r="K36" i="135"/>
  <c r="K37" i="135"/>
  <c r="K38" i="135"/>
  <c r="K10" i="135"/>
  <c r="R10" i="135" s="1"/>
  <c r="J23" i="109"/>
  <c r="K10" i="129"/>
  <c r="R10" i="129" s="1"/>
  <c r="K10" i="95"/>
  <c r="R10" i="95" s="1"/>
  <c r="K10" i="132"/>
  <c r="K11" i="132"/>
  <c r="R11" i="132" s="1"/>
  <c r="K12" i="132"/>
  <c r="K13" i="132"/>
  <c r="R13" i="132" s="1"/>
  <c r="K14" i="132"/>
  <c r="K15" i="132"/>
  <c r="K16" i="132"/>
  <c r="R16" i="132" s="1"/>
  <c r="K17" i="132"/>
  <c r="K18" i="132"/>
  <c r="K10" i="59"/>
  <c r="R10" i="59" s="1"/>
  <c r="K11" i="59"/>
  <c r="R11" i="59" s="1"/>
  <c r="K12" i="59"/>
  <c r="K13" i="59"/>
  <c r="R13" i="59" s="1"/>
  <c r="K14" i="59"/>
  <c r="K15" i="59"/>
  <c r="R15" i="59" s="1"/>
  <c r="K16" i="59"/>
  <c r="K17" i="59"/>
  <c r="R17" i="59" s="1"/>
  <c r="K18" i="59"/>
  <c r="R18" i="59" s="1"/>
  <c r="K19" i="59"/>
  <c r="R19" i="59" s="1"/>
  <c r="K20" i="59"/>
  <c r="K21" i="59"/>
  <c r="R21" i="59" s="1"/>
  <c r="K22" i="59"/>
  <c r="R22" i="59" s="1"/>
  <c r="K23" i="59"/>
  <c r="R23" i="59" s="1"/>
  <c r="K24" i="59"/>
  <c r="K25" i="59"/>
  <c r="R25" i="59" s="1"/>
  <c r="K26" i="59"/>
  <c r="R26" i="59" s="1"/>
  <c r="K27" i="59"/>
  <c r="R27" i="59" s="1"/>
  <c r="K28" i="59"/>
  <c r="K29" i="59"/>
  <c r="R29" i="59" s="1"/>
  <c r="K30" i="59"/>
  <c r="K31" i="59"/>
  <c r="R31" i="59" s="1"/>
  <c r="K32" i="59"/>
  <c r="R32" i="59" s="1"/>
  <c r="K33" i="59"/>
  <c r="R33" i="59" s="1"/>
  <c r="K34" i="59"/>
  <c r="R34" i="59" s="1"/>
  <c r="K35" i="59"/>
  <c r="R35" i="59" s="1"/>
  <c r="K36" i="59"/>
  <c r="K37" i="59"/>
  <c r="R37" i="59" s="1"/>
  <c r="K38" i="59"/>
  <c r="K10" i="60"/>
  <c r="R10" i="60" s="1"/>
  <c r="K10" i="121"/>
  <c r="K11" i="121"/>
  <c r="R11" i="121" s="1"/>
  <c r="K12" i="121"/>
  <c r="K13" i="121"/>
  <c r="R13" i="121" s="1"/>
  <c r="K14" i="121"/>
  <c r="R14" i="121" s="1"/>
  <c r="K15" i="121"/>
  <c r="R15" i="121" s="1"/>
  <c r="K16" i="121"/>
  <c r="K17" i="121"/>
  <c r="R17" i="121" s="1"/>
  <c r="K18" i="121"/>
  <c r="K19" i="121"/>
  <c r="R19" i="121" s="1"/>
  <c r="K20" i="121"/>
  <c r="K21" i="121"/>
  <c r="R21" i="121" s="1"/>
  <c r="K22" i="121"/>
  <c r="K23" i="121"/>
  <c r="R23" i="121" s="1"/>
  <c r="K24" i="121"/>
  <c r="R24" i="121" s="1"/>
  <c r="K10" i="112"/>
  <c r="K11" i="112"/>
  <c r="K12" i="112"/>
  <c r="R12" i="112" s="1"/>
  <c r="K13" i="112"/>
  <c r="R13" i="112" s="1"/>
  <c r="K14" i="112"/>
  <c r="K15" i="112"/>
  <c r="K16" i="112"/>
  <c r="K17" i="112"/>
  <c r="R17" i="112" s="1"/>
  <c r="K18" i="112"/>
  <c r="K19" i="112"/>
  <c r="R19" i="112" s="1"/>
  <c r="K20" i="112"/>
  <c r="R20" i="112" s="1"/>
  <c r="K21" i="112"/>
  <c r="R21" i="112" s="1"/>
  <c r="R36" i="52"/>
  <c r="R37" i="52"/>
  <c r="R38" i="52"/>
  <c r="R39" i="52"/>
  <c r="R40" i="52"/>
  <c r="R41" i="52"/>
  <c r="R42" i="52"/>
  <c r="R43" i="52"/>
  <c r="R44" i="52"/>
  <c r="R45" i="52"/>
  <c r="R46" i="52"/>
  <c r="R47" i="52"/>
  <c r="R48" i="52"/>
  <c r="R49" i="52"/>
  <c r="R50" i="52"/>
  <c r="R51" i="52"/>
  <c r="R52" i="52"/>
  <c r="R53" i="52"/>
  <c r="R54" i="52"/>
  <c r="R55" i="52"/>
  <c r="R56" i="52"/>
  <c r="R57" i="52"/>
  <c r="R58" i="52"/>
  <c r="R59" i="52"/>
  <c r="R60" i="52"/>
  <c r="R61" i="52"/>
  <c r="R62" i="52"/>
  <c r="R63" i="52"/>
  <c r="R64" i="52"/>
  <c r="R65" i="52"/>
  <c r="R66" i="52"/>
  <c r="R67" i="52"/>
  <c r="R68" i="52"/>
  <c r="R69" i="52"/>
  <c r="R70" i="52"/>
  <c r="R71" i="52"/>
  <c r="R72" i="52"/>
  <c r="K10" i="52"/>
  <c r="K11" i="52"/>
  <c r="K12" i="52"/>
  <c r="K13" i="52"/>
  <c r="K14" i="52"/>
  <c r="K15" i="52"/>
  <c r="K16" i="52"/>
  <c r="R16" i="52" s="1"/>
  <c r="K17" i="52"/>
  <c r="K18" i="52"/>
  <c r="K19" i="52"/>
  <c r="K20" i="52"/>
  <c r="K21" i="52"/>
  <c r="K22" i="52"/>
  <c r="K23" i="52"/>
  <c r="K24" i="52"/>
  <c r="R24" i="52" s="1"/>
  <c r="K25" i="52"/>
  <c r="K26" i="52"/>
  <c r="K27" i="52"/>
  <c r="K28" i="52"/>
  <c r="K29" i="52"/>
  <c r="K30" i="52"/>
  <c r="K31" i="52"/>
  <c r="K32" i="52"/>
  <c r="R32" i="52" s="1"/>
  <c r="K33" i="52"/>
  <c r="K34" i="52"/>
  <c r="K35" i="52"/>
  <c r="K36" i="52"/>
  <c r="K37" i="52"/>
  <c r="K38" i="52"/>
  <c r="K39" i="52"/>
  <c r="K40" i="52"/>
  <c r="K41" i="52"/>
  <c r="K42" i="52"/>
  <c r="K43" i="52"/>
  <c r="K44" i="52"/>
  <c r="K45" i="52"/>
  <c r="K46" i="52"/>
  <c r="K47" i="52"/>
  <c r="K48" i="52"/>
  <c r="K49" i="52"/>
  <c r="K50" i="52"/>
  <c r="K51" i="52"/>
  <c r="K52" i="52"/>
  <c r="K53" i="52"/>
  <c r="K54" i="52"/>
  <c r="K55" i="52"/>
  <c r="K56" i="52"/>
  <c r="K57" i="52"/>
  <c r="K58" i="52"/>
  <c r="K59" i="52"/>
  <c r="K60" i="52"/>
  <c r="K61" i="52"/>
  <c r="K62" i="52"/>
  <c r="K63" i="52"/>
  <c r="K64" i="52"/>
  <c r="K65" i="52"/>
  <c r="K66" i="52"/>
  <c r="K67" i="52"/>
  <c r="K68" i="52"/>
  <c r="K69" i="52"/>
  <c r="K70" i="52"/>
  <c r="K71" i="52"/>
  <c r="K72" i="52"/>
  <c r="K10" i="116"/>
  <c r="R10" i="116" s="1"/>
  <c r="K11" i="116"/>
  <c r="R11" i="116" s="1"/>
  <c r="K10" i="48"/>
  <c r="R10" i="48" s="1"/>
  <c r="K11" i="48"/>
  <c r="R11" i="48" s="1"/>
  <c r="K12" i="48"/>
  <c r="R12" i="48" s="1"/>
  <c r="K13" i="48"/>
  <c r="R13" i="48" s="1"/>
  <c r="K14" i="48"/>
  <c r="R14" i="48" s="1"/>
  <c r="K15" i="48"/>
  <c r="R15" i="48" s="1"/>
  <c r="K17" i="48"/>
  <c r="R17" i="48" s="1"/>
  <c r="R20" i="48"/>
  <c r="R22" i="48"/>
  <c r="R23" i="48"/>
  <c r="R24" i="48"/>
  <c r="R30" i="48"/>
  <c r="R31" i="48"/>
  <c r="R32" i="48"/>
  <c r="R35" i="48"/>
  <c r="K10" i="82"/>
  <c r="K11" i="82"/>
  <c r="R11" i="82" s="1"/>
  <c r="K12" i="82"/>
  <c r="K13" i="82"/>
  <c r="K14" i="82"/>
  <c r="K15" i="82"/>
  <c r="R15" i="82" s="1"/>
  <c r="K16" i="82"/>
  <c r="R16" i="82" s="1"/>
  <c r="K17" i="82"/>
  <c r="R17" i="82" s="1"/>
  <c r="K18" i="82"/>
  <c r="K10" i="46"/>
  <c r="K11" i="46"/>
  <c r="K12" i="46"/>
  <c r="K13" i="46"/>
  <c r="K14" i="46"/>
  <c r="K15" i="46"/>
  <c r="K16" i="46"/>
  <c r="R16" i="46" s="1"/>
  <c r="K17" i="46"/>
  <c r="R17" i="46" s="1"/>
  <c r="K18" i="46"/>
  <c r="K19" i="46"/>
  <c r="K20" i="46"/>
  <c r="K21" i="46"/>
  <c r="K22" i="46"/>
  <c r="K23" i="46"/>
  <c r="K24" i="46"/>
  <c r="R24" i="46" s="1"/>
  <c r="K25" i="46"/>
  <c r="R25" i="46" s="1"/>
  <c r="K26" i="46"/>
  <c r="K10" i="92"/>
  <c r="K11" i="92"/>
  <c r="K12" i="92"/>
  <c r="K13" i="92"/>
  <c r="K14" i="92"/>
  <c r="K15" i="92"/>
  <c r="R15" i="92" s="1"/>
  <c r="K16" i="92"/>
  <c r="R16" i="92" s="1"/>
  <c r="K17" i="92"/>
  <c r="K18" i="92"/>
  <c r="K19" i="92"/>
  <c r="K20" i="92"/>
  <c r="K21" i="92"/>
  <c r="K22" i="92"/>
  <c r="K23" i="92"/>
  <c r="R23" i="92" s="1"/>
  <c r="K24" i="92"/>
  <c r="R24" i="92" s="1"/>
  <c r="K25" i="92"/>
  <c r="K26" i="92"/>
  <c r="R26" i="92" s="1"/>
  <c r="K27" i="92"/>
  <c r="K28" i="92"/>
  <c r="R28" i="92" s="1"/>
  <c r="K29" i="92"/>
  <c r="R36" i="41"/>
  <c r="R37" i="41"/>
  <c r="R38" i="41"/>
  <c r="R39" i="41"/>
  <c r="R40" i="41"/>
  <c r="R41" i="41"/>
  <c r="R42" i="41"/>
  <c r="R43" i="41"/>
  <c r="R44" i="41"/>
  <c r="R45" i="41"/>
  <c r="R46" i="41"/>
  <c r="R47" i="41"/>
  <c r="R48" i="41"/>
  <c r="R49" i="41"/>
  <c r="R50" i="41"/>
  <c r="R51" i="41"/>
  <c r="R52" i="41"/>
  <c r="R53" i="41"/>
  <c r="R54" i="41"/>
  <c r="R55" i="41"/>
  <c r="R35" i="41"/>
  <c r="R34" i="41"/>
  <c r="R33" i="41"/>
  <c r="R32" i="41"/>
  <c r="R31" i="41"/>
  <c r="R30" i="41"/>
  <c r="R29" i="41"/>
  <c r="R28" i="41"/>
  <c r="R27" i="41"/>
  <c r="R26" i="41"/>
  <c r="R25" i="41"/>
  <c r="R24" i="41"/>
  <c r="R23" i="41"/>
  <c r="R22" i="41"/>
  <c r="R21" i="41"/>
  <c r="R20" i="41"/>
  <c r="R19" i="41"/>
  <c r="R18" i="41"/>
  <c r="R17" i="41"/>
  <c r="R16" i="41"/>
  <c r="R15" i="41"/>
  <c r="R14" i="41"/>
  <c r="R13" i="41"/>
  <c r="R11" i="41"/>
  <c r="R10" i="41"/>
  <c r="R9" i="41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35" i="123"/>
  <c r="R34" i="123"/>
  <c r="R33" i="123"/>
  <c r="R32" i="123"/>
  <c r="R31" i="123"/>
  <c r="R30" i="123"/>
  <c r="R29" i="123"/>
  <c r="R28" i="123"/>
  <c r="R27" i="123"/>
  <c r="R26" i="123"/>
  <c r="R25" i="123"/>
  <c r="R24" i="123"/>
  <c r="R23" i="123"/>
  <c r="R22" i="123"/>
  <c r="R21" i="123"/>
  <c r="R20" i="123"/>
  <c r="R19" i="123"/>
  <c r="R18" i="123"/>
  <c r="R17" i="123"/>
  <c r="R16" i="123"/>
  <c r="R15" i="123"/>
  <c r="R14" i="123"/>
  <c r="R13" i="123"/>
  <c r="R12" i="123"/>
  <c r="R11" i="123"/>
  <c r="R10" i="123"/>
  <c r="R9" i="123"/>
  <c r="R35" i="92"/>
  <c r="R34" i="92"/>
  <c r="R33" i="92"/>
  <c r="R32" i="92"/>
  <c r="R31" i="92"/>
  <c r="R30" i="92"/>
  <c r="R29" i="92"/>
  <c r="R27" i="92"/>
  <c r="R25" i="92"/>
  <c r="R22" i="92"/>
  <c r="R21" i="92"/>
  <c r="R20" i="92"/>
  <c r="R19" i="92"/>
  <c r="R18" i="92"/>
  <c r="R17" i="92"/>
  <c r="R14" i="92"/>
  <c r="R13" i="92"/>
  <c r="R12" i="92"/>
  <c r="R11" i="92"/>
  <c r="R10" i="92"/>
  <c r="R9" i="92"/>
  <c r="R35" i="46"/>
  <c r="R34" i="46"/>
  <c r="R33" i="46"/>
  <c r="R32" i="46"/>
  <c r="R31" i="46"/>
  <c r="R30" i="46"/>
  <c r="R29" i="46"/>
  <c r="R28" i="46"/>
  <c r="R27" i="46"/>
  <c r="R26" i="46"/>
  <c r="R23" i="46"/>
  <c r="R22" i="46"/>
  <c r="R21" i="46"/>
  <c r="R20" i="46"/>
  <c r="R19" i="46"/>
  <c r="R18" i="46"/>
  <c r="R15" i="46"/>
  <c r="R14" i="46"/>
  <c r="R13" i="46"/>
  <c r="R12" i="46"/>
  <c r="R11" i="46"/>
  <c r="R10" i="46"/>
  <c r="R9" i="46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4" i="82"/>
  <c r="R13" i="82"/>
  <c r="R12" i="82"/>
  <c r="R10" i="82"/>
  <c r="R9" i="82"/>
  <c r="R37" i="48"/>
  <c r="R36" i="48"/>
  <c r="R21" i="48"/>
  <c r="R35" i="116"/>
  <c r="R34" i="116"/>
  <c r="R33" i="116"/>
  <c r="R32" i="116"/>
  <c r="R31" i="116"/>
  <c r="R30" i="116"/>
  <c r="R29" i="116"/>
  <c r="R28" i="116"/>
  <c r="R27" i="116"/>
  <c r="R26" i="116"/>
  <c r="R25" i="116"/>
  <c r="R24" i="116"/>
  <c r="R23" i="116"/>
  <c r="R22" i="116"/>
  <c r="R21" i="116"/>
  <c r="R20" i="116"/>
  <c r="R19" i="116"/>
  <c r="R18" i="116"/>
  <c r="R17" i="116"/>
  <c r="R16" i="116"/>
  <c r="R15" i="116"/>
  <c r="R14" i="116"/>
  <c r="R13" i="116"/>
  <c r="R12" i="116"/>
  <c r="R35" i="52"/>
  <c r="R34" i="52"/>
  <c r="R33" i="52"/>
  <c r="R31" i="52"/>
  <c r="R30" i="52"/>
  <c r="R29" i="52"/>
  <c r="R28" i="52"/>
  <c r="R27" i="52"/>
  <c r="R26" i="52"/>
  <c r="R25" i="52"/>
  <c r="R23" i="52"/>
  <c r="R22" i="52"/>
  <c r="R21" i="52"/>
  <c r="R20" i="52"/>
  <c r="R19" i="52"/>
  <c r="R18" i="52"/>
  <c r="R17" i="52"/>
  <c r="R15" i="52"/>
  <c r="R14" i="52"/>
  <c r="R13" i="52"/>
  <c r="R12" i="52"/>
  <c r="R11" i="52"/>
  <c r="R10" i="52"/>
  <c r="R9" i="52"/>
  <c r="R35" i="112"/>
  <c r="R34" i="112"/>
  <c r="R33" i="112"/>
  <c r="R32" i="112"/>
  <c r="R31" i="112"/>
  <c r="R30" i="112"/>
  <c r="R29" i="112"/>
  <c r="R28" i="112"/>
  <c r="R27" i="112"/>
  <c r="R26" i="112"/>
  <c r="R25" i="112"/>
  <c r="R24" i="112"/>
  <c r="R23" i="112"/>
  <c r="R22" i="112"/>
  <c r="R18" i="112"/>
  <c r="R16" i="112"/>
  <c r="R15" i="112"/>
  <c r="R14" i="112"/>
  <c r="R11" i="112"/>
  <c r="R10" i="112"/>
  <c r="R9" i="112"/>
  <c r="R35" i="121"/>
  <c r="R34" i="121"/>
  <c r="R33" i="121"/>
  <c r="R32" i="121"/>
  <c r="R31" i="121"/>
  <c r="R30" i="121"/>
  <c r="R29" i="121"/>
  <c r="R28" i="121"/>
  <c r="R27" i="121"/>
  <c r="R26" i="121"/>
  <c r="R25" i="121"/>
  <c r="R22" i="121"/>
  <c r="R20" i="121"/>
  <c r="R18" i="121"/>
  <c r="R16" i="121"/>
  <c r="R12" i="121"/>
  <c r="R10" i="121"/>
  <c r="R9" i="121"/>
  <c r="R35" i="60"/>
  <c r="R34" i="60"/>
  <c r="R33" i="60"/>
  <c r="R32" i="60"/>
  <c r="R31" i="60"/>
  <c r="R30" i="60"/>
  <c r="R29" i="60"/>
  <c r="R28" i="60"/>
  <c r="R27" i="60"/>
  <c r="R26" i="60"/>
  <c r="R25" i="60"/>
  <c r="R24" i="60"/>
  <c r="R23" i="60"/>
  <c r="R22" i="60"/>
  <c r="R21" i="60"/>
  <c r="R20" i="60"/>
  <c r="R19" i="60"/>
  <c r="R18" i="60"/>
  <c r="R17" i="60"/>
  <c r="R16" i="60"/>
  <c r="R15" i="60"/>
  <c r="R14" i="60"/>
  <c r="R13" i="60"/>
  <c r="R12" i="60"/>
  <c r="R11" i="60"/>
  <c r="R9" i="60"/>
  <c r="R36" i="59"/>
  <c r="R38" i="59"/>
  <c r="R30" i="59"/>
  <c r="R28" i="59"/>
  <c r="R24" i="59"/>
  <c r="R20" i="59"/>
  <c r="R16" i="59"/>
  <c r="R14" i="59"/>
  <c r="R12" i="59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30" i="132"/>
  <c r="R29" i="132"/>
  <c r="R28" i="132"/>
  <c r="R27" i="132"/>
  <c r="R26" i="132"/>
  <c r="R25" i="132"/>
  <c r="R24" i="132"/>
  <c r="R23" i="132"/>
  <c r="R22" i="132"/>
  <c r="R21" i="132"/>
  <c r="R20" i="132"/>
  <c r="R19" i="132"/>
  <c r="R18" i="132"/>
  <c r="R17" i="132"/>
  <c r="R15" i="132"/>
  <c r="R14" i="132"/>
  <c r="R12" i="132"/>
  <c r="R10" i="132"/>
  <c r="R9" i="132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30" i="124"/>
  <c r="R29" i="124"/>
  <c r="R28" i="124"/>
  <c r="R27" i="124"/>
  <c r="R26" i="124"/>
  <c r="R25" i="124"/>
  <c r="R24" i="124"/>
  <c r="R23" i="124"/>
  <c r="R22" i="124"/>
  <c r="R21" i="124"/>
  <c r="R20" i="124"/>
  <c r="R19" i="124"/>
  <c r="R18" i="124"/>
  <c r="R17" i="124"/>
  <c r="R16" i="124"/>
  <c r="R15" i="124"/>
  <c r="R14" i="124"/>
  <c r="R13" i="124"/>
  <c r="R12" i="124"/>
  <c r="R11" i="124"/>
  <c r="R10" i="124"/>
  <c r="R30" i="109"/>
  <c r="R29" i="109"/>
  <c r="R28" i="109"/>
  <c r="R27" i="109"/>
  <c r="R26" i="109"/>
  <c r="R25" i="109"/>
  <c r="R24" i="109"/>
  <c r="R23" i="109"/>
  <c r="R22" i="109"/>
  <c r="R21" i="109"/>
  <c r="R20" i="109"/>
  <c r="R19" i="109"/>
  <c r="R18" i="109"/>
  <c r="R17" i="109"/>
  <c r="R16" i="109"/>
  <c r="R15" i="109"/>
  <c r="R14" i="109"/>
  <c r="R13" i="109"/>
  <c r="R12" i="109"/>
  <c r="R11" i="109"/>
  <c r="R10" i="109"/>
  <c r="R9" i="109"/>
  <c r="R30" i="120"/>
  <c r="R29" i="120"/>
  <c r="R28" i="120"/>
  <c r="R27" i="120"/>
  <c r="R26" i="120"/>
  <c r="R25" i="120"/>
  <c r="R24" i="120"/>
  <c r="R22" i="120"/>
  <c r="R21" i="120"/>
  <c r="R20" i="120"/>
  <c r="R19" i="120"/>
  <c r="R18" i="120"/>
  <c r="R17" i="120"/>
  <c r="R15" i="120"/>
  <c r="R14" i="120"/>
  <c r="R13" i="120"/>
  <c r="R12" i="120"/>
  <c r="R11" i="120"/>
  <c r="R10" i="120"/>
  <c r="R30" i="70"/>
  <c r="R29" i="70"/>
  <c r="R28" i="70"/>
  <c r="R27" i="70"/>
  <c r="R26" i="70"/>
  <c r="R25" i="70"/>
  <c r="R24" i="70"/>
  <c r="R23" i="70"/>
  <c r="R22" i="70"/>
  <c r="R21" i="70"/>
  <c r="R20" i="70"/>
  <c r="R19" i="70"/>
  <c r="R18" i="70"/>
  <c r="R17" i="70"/>
  <c r="R16" i="70"/>
  <c r="R15" i="70"/>
  <c r="R14" i="70"/>
  <c r="R13" i="70"/>
  <c r="R12" i="70"/>
  <c r="R30" i="130"/>
  <c r="R29" i="130"/>
  <c r="R28" i="130"/>
  <c r="R27" i="130"/>
  <c r="R26" i="130"/>
  <c r="R25" i="130"/>
  <c r="R24" i="130"/>
  <c r="R23" i="130"/>
  <c r="R22" i="130"/>
  <c r="R21" i="130"/>
  <c r="R20" i="130"/>
  <c r="R19" i="130"/>
  <c r="R18" i="130"/>
  <c r="R17" i="130"/>
  <c r="R16" i="130"/>
  <c r="R15" i="130"/>
  <c r="R14" i="130"/>
  <c r="R13" i="130"/>
  <c r="R12" i="130"/>
  <c r="R11" i="130"/>
  <c r="R10" i="130"/>
  <c r="R9" i="130"/>
  <c r="R36" i="135"/>
  <c r="R37" i="135"/>
  <c r="R16" i="127"/>
  <c r="R15" i="127"/>
  <c r="R14" i="127"/>
  <c r="R13" i="127"/>
  <c r="R12" i="127"/>
  <c r="R11" i="127"/>
  <c r="R10" i="127"/>
  <c r="R9" i="127"/>
  <c r="R11" i="129"/>
  <c r="R12" i="129"/>
  <c r="R13" i="129"/>
  <c r="R14" i="129"/>
  <c r="R15" i="129"/>
  <c r="R16" i="129"/>
  <c r="K10" i="124"/>
  <c r="K10" i="109"/>
  <c r="K11" i="109"/>
  <c r="K12" i="109"/>
  <c r="K13" i="109"/>
  <c r="K14" i="109"/>
  <c r="K15" i="109"/>
  <c r="K16" i="109"/>
  <c r="K17" i="109"/>
  <c r="K18" i="109"/>
  <c r="K19" i="109"/>
  <c r="K20" i="109"/>
  <c r="K21" i="109"/>
  <c r="K22" i="109"/>
  <c r="K23" i="109"/>
  <c r="K24" i="109"/>
  <c r="K25" i="109"/>
  <c r="K26" i="109"/>
  <c r="K27" i="109"/>
  <c r="K28" i="109"/>
  <c r="K9" i="109"/>
  <c r="K10" i="120"/>
  <c r="K11" i="120"/>
  <c r="K12" i="120"/>
  <c r="K13" i="120"/>
  <c r="K14" i="120"/>
  <c r="K15" i="120"/>
  <c r="K16" i="120"/>
  <c r="R16" i="120" s="1"/>
  <c r="K17" i="120"/>
  <c r="K18" i="120"/>
  <c r="K19" i="120"/>
  <c r="K20" i="120"/>
  <c r="K21" i="120"/>
  <c r="K22" i="120"/>
  <c r="K23" i="120"/>
  <c r="R23" i="120" s="1"/>
  <c r="K24" i="120"/>
  <c r="K25" i="120"/>
  <c r="K10" i="70"/>
  <c r="R10" i="70" s="1"/>
  <c r="K11" i="70"/>
  <c r="R11" i="70" s="1"/>
  <c r="K10" i="130"/>
  <c r="K11" i="130"/>
  <c r="K12" i="130"/>
  <c r="K13" i="130"/>
  <c r="K14" i="130"/>
  <c r="K15" i="130"/>
  <c r="K9" i="130"/>
  <c r="R11" i="135"/>
  <c r="R12" i="135"/>
  <c r="R13" i="135"/>
  <c r="R14" i="135"/>
  <c r="R15" i="135"/>
  <c r="R16" i="135"/>
  <c r="R19" i="135"/>
  <c r="R20" i="135"/>
  <c r="R21" i="135"/>
  <c r="R22" i="135"/>
  <c r="R23" i="135"/>
  <c r="R24" i="135"/>
  <c r="R27" i="135"/>
  <c r="R28" i="135"/>
  <c r="R29" i="135"/>
  <c r="R30" i="135"/>
  <c r="R31" i="135"/>
  <c r="R32" i="135"/>
  <c r="R35" i="135"/>
  <c r="R38" i="135"/>
  <c r="K9" i="127"/>
  <c r="K10" i="127"/>
  <c r="K11" i="127"/>
  <c r="K12" i="127"/>
  <c r="K3" i="130"/>
  <c r="K9" i="70"/>
  <c r="R9" i="70" s="1"/>
  <c r="K9" i="120"/>
  <c r="R9" i="120" s="1"/>
  <c r="K9" i="124"/>
  <c r="R9" i="124" s="1"/>
  <c r="K9" i="129"/>
  <c r="R9" i="129" s="1"/>
  <c r="K9" i="95"/>
  <c r="R9" i="95" s="1"/>
  <c r="K9" i="132"/>
  <c r="K9" i="107"/>
  <c r="K9" i="59"/>
  <c r="R9" i="59" s="1"/>
  <c r="K9" i="60"/>
  <c r="K9" i="121"/>
  <c r="K9" i="112"/>
  <c r="K9" i="52"/>
  <c r="K9" i="116"/>
  <c r="R9" i="116" s="1"/>
  <c r="K9" i="48"/>
  <c r="R9" i="48" s="1"/>
  <c r="K9" i="82"/>
  <c r="K3" i="82"/>
  <c r="K9" i="46"/>
  <c r="K9" i="92"/>
  <c r="K9" i="123"/>
  <c r="K10" i="123"/>
  <c r="K11" i="123"/>
  <c r="K12" i="123"/>
  <c r="K13" i="123"/>
  <c r="K14" i="123"/>
  <c r="K9" i="103"/>
  <c r="J9" i="103"/>
  <c r="K9" i="41"/>
  <c r="K10" i="41"/>
  <c r="K11" i="41"/>
  <c r="K12" i="41"/>
  <c r="R12" i="41" s="1"/>
  <c r="K13" i="41"/>
  <c r="K14" i="41"/>
  <c r="K15" i="41"/>
  <c r="K16" i="41"/>
  <c r="K17" i="41"/>
  <c r="K18" i="41"/>
  <c r="K19" i="41"/>
  <c r="K20" i="41"/>
  <c r="K21" i="41"/>
  <c r="K22" i="41"/>
  <c r="K23" i="41"/>
  <c r="K24" i="41"/>
  <c r="K25" i="41"/>
  <c r="K26" i="41"/>
  <c r="K27" i="41"/>
  <c r="K28" i="41"/>
  <c r="K29" i="41"/>
  <c r="K30" i="41"/>
  <c r="K31" i="41"/>
  <c r="K32" i="41"/>
  <c r="K33" i="41"/>
  <c r="K34" i="41"/>
  <c r="K35" i="41"/>
  <c r="K36" i="41"/>
  <c r="K37" i="41"/>
  <c r="K38" i="41"/>
  <c r="K39" i="41"/>
  <c r="K40" i="41"/>
  <c r="K41" i="41"/>
  <c r="K42" i="41"/>
  <c r="K43" i="41"/>
  <c r="K44" i="41"/>
  <c r="K45" i="41"/>
  <c r="K46" i="41"/>
  <c r="K47" i="41"/>
  <c r="K48" i="41"/>
  <c r="K49" i="41"/>
  <c r="K50" i="41"/>
  <c r="K51" i="41"/>
  <c r="K52" i="41"/>
  <c r="K53" i="41"/>
  <c r="K54" i="41"/>
  <c r="K55" i="41"/>
  <c r="E3" i="96"/>
  <c r="E4" i="96"/>
  <c r="E5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21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E248" i="96"/>
  <c r="E249" i="96"/>
  <c r="E250" i="96"/>
  <c r="E251" i="96"/>
  <c r="E252" i="96"/>
  <c r="E253" i="96"/>
  <c r="E254" i="96"/>
  <c r="E255" i="96"/>
  <c r="E256" i="96"/>
  <c r="E257" i="96"/>
  <c r="E258" i="96"/>
  <c r="E259" i="96"/>
  <c r="E260" i="96"/>
  <c r="E261" i="96"/>
  <c r="E262" i="96"/>
  <c r="E263" i="96"/>
  <c r="E264" i="96"/>
  <c r="E265" i="96"/>
  <c r="E266" i="96"/>
  <c r="E267" i="96"/>
  <c r="E268" i="96"/>
  <c r="E269" i="96"/>
  <c r="E270" i="96"/>
  <c r="E271" i="96"/>
  <c r="E272" i="96"/>
  <c r="E273" i="96"/>
  <c r="E274" i="96"/>
  <c r="E275" i="96"/>
  <c r="E276" i="96"/>
  <c r="E277" i="96"/>
  <c r="E278" i="96"/>
  <c r="E279" i="96"/>
  <c r="E280" i="96"/>
  <c r="E281" i="96"/>
  <c r="E282" i="96"/>
  <c r="E283" i="96"/>
  <c r="E284" i="96"/>
  <c r="E285" i="96"/>
  <c r="E286" i="96"/>
  <c r="E287" i="96"/>
  <c r="E288" i="96"/>
  <c r="E289" i="96"/>
  <c r="E290" i="96"/>
  <c r="E291" i="96"/>
  <c r="E292" i="96"/>
  <c r="E293" i="96"/>
  <c r="E294" i="96"/>
  <c r="E295" i="96"/>
  <c r="E296" i="96"/>
  <c r="E297" i="96"/>
  <c r="E298" i="96"/>
  <c r="E299" i="96"/>
  <c r="E300" i="96"/>
  <c r="E301" i="96"/>
  <c r="E302" i="96"/>
  <c r="E303" i="96"/>
  <c r="E304" i="96"/>
  <c r="E305" i="96"/>
  <c r="E306" i="96"/>
  <c r="E307" i="96"/>
  <c r="E308" i="96"/>
  <c r="E2" i="96"/>
  <c r="K3" i="103"/>
  <c r="K4" i="103" s="1"/>
  <c r="K3" i="123"/>
  <c r="K4" i="123" s="1"/>
  <c r="K3" i="92"/>
  <c r="K4" i="92" s="1"/>
  <c r="K4" i="46"/>
  <c r="K3" i="46"/>
  <c r="K4" i="82"/>
  <c r="K3" i="116"/>
  <c r="K4" i="116" s="1"/>
  <c r="K4" i="52"/>
  <c r="K3" i="52"/>
  <c r="K3" i="112"/>
  <c r="K4" i="112" s="1"/>
  <c r="K3" i="121"/>
  <c r="K4" i="121" s="1"/>
  <c r="K3" i="60"/>
  <c r="K4" i="60" s="1"/>
  <c r="K4" i="59"/>
  <c r="K3" i="59"/>
  <c r="K3" i="107"/>
  <c r="K4" i="107" s="1"/>
  <c r="K3" i="132"/>
  <c r="K4" i="132" s="1"/>
  <c r="K3" i="95"/>
  <c r="K4" i="95" s="1"/>
  <c r="K4" i="129"/>
  <c r="K3" i="129"/>
  <c r="K3" i="124"/>
  <c r="K4" i="124" s="1"/>
  <c r="K3" i="109"/>
  <c r="K4" i="109" s="1"/>
  <c r="K3" i="120"/>
  <c r="K4" i="120" s="1"/>
  <c r="K4" i="70"/>
  <c r="K3" i="70"/>
  <c r="K4" i="130"/>
  <c r="K3" i="135"/>
  <c r="K4" i="135" s="1"/>
  <c r="K3" i="127"/>
  <c r="K4" i="127" s="1"/>
  <c r="J16" i="41"/>
  <c r="J28" i="41"/>
  <c r="J27" i="41"/>
  <c r="J26" i="41"/>
  <c r="C27" i="41"/>
  <c r="C28" i="41"/>
  <c r="M28" i="41" s="1"/>
  <c r="C25" i="41"/>
  <c r="C26" i="41"/>
  <c r="M26" i="41" s="1"/>
  <c r="C15" i="41"/>
  <c r="C16" i="41"/>
  <c r="M16" i="41" s="1"/>
  <c r="J10" i="59"/>
  <c r="J11" i="59"/>
  <c r="J12" i="59"/>
  <c r="J13" i="59"/>
  <c r="J14" i="59"/>
  <c r="J15" i="59"/>
  <c r="J16" i="59"/>
  <c r="M16" i="59"/>
  <c r="J17" i="59"/>
  <c r="J18" i="59"/>
  <c r="J19" i="59"/>
  <c r="J20" i="59"/>
  <c r="J21" i="59"/>
  <c r="J22" i="59"/>
  <c r="M22" i="59"/>
  <c r="J23" i="59"/>
  <c r="J24" i="59"/>
  <c r="M24" i="59"/>
  <c r="J25" i="59"/>
  <c r="M25" i="59"/>
  <c r="J26" i="59"/>
  <c r="J27" i="59"/>
  <c r="J28" i="59"/>
  <c r="J29" i="59"/>
  <c r="J30" i="59"/>
  <c r="M30" i="59"/>
  <c r="J31" i="59"/>
  <c r="M31" i="59"/>
  <c r="J32" i="59"/>
  <c r="M32" i="59"/>
  <c r="J33" i="59"/>
  <c r="M33" i="59"/>
  <c r="J34" i="59"/>
  <c r="M34" i="59"/>
  <c r="J35" i="59"/>
  <c r="M35" i="59"/>
  <c r="J36" i="59"/>
  <c r="M36" i="59"/>
  <c r="J37" i="59"/>
  <c r="J38" i="59"/>
  <c r="M38" i="59"/>
  <c r="C38" i="59"/>
  <c r="C37" i="59"/>
  <c r="M37" i="59" s="1"/>
  <c r="C33" i="59"/>
  <c r="C32" i="59"/>
  <c r="C30" i="59"/>
  <c r="C29" i="59"/>
  <c r="M29" i="59" s="1"/>
  <c r="C28" i="59"/>
  <c r="M28" i="59" s="1"/>
  <c r="C27" i="59"/>
  <c r="M27" i="59" s="1"/>
  <c r="C26" i="59"/>
  <c r="M26" i="59" s="1"/>
  <c r="C25" i="59"/>
  <c r="C24" i="59"/>
  <c r="C23" i="59"/>
  <c r="M23" i="59" s="1"/>
  <c r="C22" i="59"/>
  <c r="C21" i="59"/>
  <c r="M21" i="59" s="1"/>
  <c r="C20" i="59"/>
  <c r="M20" i="59" s="1"/>
  <c r="C19" i="59"/>
  <c r="M19" i="59" s="1"/>
  <c r="C18" i="59"/>
  <c r="M18" i="59" s="1"/>
  <c r="C17" i="59"/>
  <c r="M17" i="59" s="1"/>
  <c r="C16" i="59"/>
  <c r="C15" i="59"/>
  <c r="M15" i="59" s="1"/>
  <c r="C14" i="59"/>
  <c r="M14" i="59" s="1"/>
  <c r="C13" i="59"/>
  <c r="M13" i="59" s="1"/>
  <c r="C12" i="59"/>
  <c r="M12" i="59" s="1"/>
  <c r="C11" i="59"/>
  <c r="M11" i="59" s="1"/>
  <c r="C10" i="59"/>
  <c r="M10" i="59" s="1"/>
  <c r="C9" i="59"/>
  <c r="J10" i="130"/>
  <c r="M38" i="135" l="1"/>
  <c r="J38" i="135"/>
  <c r="M37" i="135"/>
  <c r="J37" i="135"/>
  <c r="M36" i="135"/>
  <c r="J36" i="135"/>
  <c r="M35" i="135"/>
  <c r="J35" i="135"/>
  <c r="M34" i="135"/>
  <c r="J34" i="135"/>
  <c r="M33" i="135"/>
  <c r="J33" i="135"/>
  <c r="M32" i="135"/>
  <c r="J32" i="135"/>
  <c r="M31" i="135"/>
  <c r="J31" i="135"/>
  <c r="M30" i="135"/>
  <c r="J30" i="135"/>
  <c r="M29" i="135"/>
  <c r="J29" i="135"/>
  <c r="M28" i="135"/>
  <c r="J28" i="135"/>
  <c r="M27" i="135"/>
  <c r="J27" i="135"/>
  <c r="M26" i="135"/>
  <c r="J26" i="135"/>
  <c r="M25" i="135"/>
  <c r="J25" i="135"/>
  <c r="M24" i="135"/>
  <c r="J24" i="135"/>
  <c r="M23" i="135"/>
  <c r="J23" i="135"/>
  <c r="M22" i="135"/>
  <c r="J22" i="135"/>
  <c r="M21" i="135"/>
  <c r="J21" i="135"/>
  <c r="M20" i="135"/>
  <c r="J20" i="135"/>
  <c r="M19" i="135"/>
  <c r="J19" i="135"/>
  <c r="M18" i="135"/>
  <c r="J18" i="135"/>
  <c r="M17" i="135"/>
  <c r="J17" i="135"/>
  <c r="M16" i="135"/>
  <c r="J16" i="135"/>
  <c r="M15" i="135"/>
  <c r="J15" i="135"/>
  <c r="M14" i="135"/>
  <c r="J14" i="135"/>
  <c r="M13" i="135"/>
  <c r="J13" i="135"/>
  <c r="M12" i="135"/>
  <c r="J12" i="135"/>
  <c r="M11" i="135"/>
  <c r="J11" i="135"/>
  <c r="M10" i="135"/>
  <c r="J10" i="135"/>
  <c r="B7" i="135"/>
  <c r="B6" i="135"/>
  <c r="J28" i="109" l="1"/>
  <c r="M28" i="109"/>
  <c r="J26" i="46"/>
  <c r="M26" i="46"/>
  <c r="J17" i="109"/>
  <c r="M17" i="109"/>
  <c r="J18" i="109"/>
  <c r="M18" i="109"/>
  <c r="J19" i="109"/>
  <c r="M19" i="109"/>
  <c r="J20" i="109"/>
  <c r="M20" i="109"/>
  <c r="J21" i="109"/>
  <c r="M21" i="109"/>
  <c r="J22" i="109"/>
  <c r="M22" i="109"/>
  <c r="M23" i="109"/>
  <c r="J24" i="109"/>
  <c r="M24" i="109"/>
  <c r="J25" i="109"/>
  <c r="M25" i="109"/>
  <c r="J26" i="109"/>
  <c r="M26" i="109"/>
  <c r="J27" i="109"/>
  <c r="M27" i="109"/>
  <c r="J17" i="120"/>
  <c r="M17" i="120"/>
  <c r="J18" i="120"/>
  <c r="M18" i="120"/>
  <c r="J19" i="120"/>
  <c r="M19" i="120"/>
  <c r="J20" i="120"/>
  <c r="M20" i="120"/>
  <c r="J21" i="120"/>
  <c r="M21" i="120"/>
  <c r="J22" i="120"/>
  <c r="M22" i="120"/>
  <c r="J23" i="120"/>
  <c r="M23" i="120"/>
  <c r="J24" i="120"/>
  <c r="M24" i="120"/>
  <c r="J25" i="120"/>
  <c r="M25" i="120"/>
  <c r="J17" i="132"/>
  <c r="M17" i="132"/>
  <c r="J18" i="132"/>
  <c r="M18" i="132"/>
  <c r="J10" i="121"/>
  <c r="M10" i="121"/>
  <c r="J11" i="121"/>
  <c r="M11" i="121"/>
  <c r="J12" i="121"/>
  <c r="M12" i="121"/>
  <c r="J13" i="121"/>
  <c r="M13" i="121"/>
  <c r="J14" i="121"/>
  <c r="M14" i="121"/>
  <c r="J15" i="121"/>
  <c r="M15" i="121"/>
  <c r="J16" i="121"/>
  <c r="M16" i="121"/>
  <c r="J17" i="121"/>
  <c r="M17" i="121"/>
  <c r="J18" i="121"/>
  <c r="M18" i="121"/>
  <c r="J19" i="121"/>
  <c r="M19" i="121"/>
  <c r="J20" i="121"/>
  <c r="M20" i="121"/>
  <c r="J21" i="121"/>
  <c r="M21" i="121"/>
  <c r="J22" i="121"/>
  <c r="M22" i="121"/>
  <c r="J23" i="121"/>
  <c r="M23" i="121"/>
  <c r="J24" i="121"/>
  <c r="M24" i="121"/>
  <c r="J10" i="112"/>
  <c r="M10" i="112"/>
  <c r="J11" i="112"/>
  <c r="M11" i="112"/>
  <c r="J12" i="112"/>
  <c r="M12" i="112"/>
  <c r="J13" i="112"/>
  <c r="M13" i="112"/>
  <c r="J14" i="112"/>
  <c r="M14" i="112"/>
  <c r="J15" i="112"/>
  <c r="M15" i="112"/>
  <c r="J16" i="112"/>
  <c r="M16" i="112"/>
  <c r="J17" i="112"/>
  <c r="M17" i="112"/>
  <c r="J18" i="112"/>
  <c r="M18" i="112"/>
  <c r="J19" i="112"/>
  <c r="M19" i="112"/>
  <c r="J20" i="112"/>
  <c r="M20" i="112"/>
  <c r="J21" i="112"/>
  <c r="M21" i="112"/>
  <c r="J10" i="52"/>
  <c r="M10" i="52"/>
  <c r="J11" i="52"/>
  <c r="M11" i="52"/>
  <c r="J12" i="52"/>
  <c r="M12" i="52"/>
  <c r="J13" i="52"/>
  <c r="M13" i="52"/>
  <c r="J14" i="52"/>
  <c r="M14" i="52"/>
  <c r="J15" i="52"/>
  <c r="M15" i="52"/>
  <c r="J16" i="52"/>
  <c r="M16" i="52"/>
  <c r="J17" i="52"/>
  <c r="M17" i="52"/>
  <c r="J18" i="52"/>
  <c r="M18" i="52"/>
  <c r="J19" i="52"/>
  <c r="M19" i="52"/>
  <c r="J20" i="52"/>
  <c r="M20" i="52"/>
  <c r="J21" i="52"/>
  <c r="M21" i="52"/>
  <c r="J22" i="52"/>
  <c r="M22" i="52"/>
  <c r="J23" i="52"/>
  <c r="M23" i="52"/>
  <c r="J24" i="52"/>
  <c r="M24" i="52"/>
  <c r="J25" i="52"/>
  <c r="M25" i="52"/>
  <c r="J26" i="52"/>
  <c r="M26" i="52"/>
  <c r="J27" i="52"/>
  <c r="M27" i="52"/>
  <c r="J28" i="52"/>
  <c r="M28" i="52"/>
  <c r="J29" i="52"/>
  <c r="M29" i="52"/>
  <c r="J30" i="52"/>
  <c r="M30" i="52"/>
  <c r="J31" i="52"/>
  <c r="M31" i="52"/>
  <c r="J32" i="52"/>
  <c r="M32" i="52"/>
  <c r="J33" i="52"/>
  <c r="M33" i="52"/>
  <c r="J34" i="52"/>
  <c r="M34" i="52"/>
  <c r="J35" i="52"/>
  <c r="M35" i="52"/>
  <c r="J36" i="52"/>
  <c r="M36" i="52"/>
  <c r="J37" i="52"/>
  <c r="M37" i="52"/>
  <c r="J38" i="52"/>
  <c r="M38" i="52"/>
  <c r="J39" i="52"/>
  <c r="M39" i="52"/>
  <c r="J40" i="52"/>
  <c r="M40" i="52"/>
  <c r="J41" i="52"/>
  <c r="M41" i="52"/>
  <c r="J42" i="52"/>
  <c r="M42" i="52"/>
  <c r="J43" i="52"/>
  <c r="M43" i="52"/>
  <c r="J44" i="52"/>
  <c r="M44" i="52"/>
  <c r="J45" i="52"/>
  <c r="M45" i="52"/>
  <c r="J46" i="52"/>
  <c r="M46" i="52"/>
  <c r="J47" i="52"/>
  <c r="M47" i="52"/>
  <c r="J48" i="52"/>
  <c r="M48" i="52"/>
  <c r="J49" i="52"/>
  <c r="M49" i="52"/>
  <c r="J50" i="52"/>
  <c r="M50" i="52"/>
  <c r="J51" i="52"/>
  <c r="M51" i="52"/>
  <c r="J52" i="52"/>
  <c r="M52" i="52"/>
  <c r="J53" i="52"/>
  <c r="M53" i="52"/>
  <c r="J54" i="52"/>
  <c r="M54" i="52"/>
  <c r="J55" i="52"/>
  <c r="M55" i="52"/>
  <c r="J56" i="52"/>
  <c r="M56" i="52"/>
  <c r="J57" i="52"/>
  <c r="M57" i="52"/>
  <c r="J58" i="52"/>
  <c r="M58" i="52"/>
  <c r="J59" i="52"/>
  <c r="M59" i="52"/>
  <c r="J60" i="52"/>
  <c r="M60" i="52"/>
  <c r="J61" i="52"/>
  <c r="M61" i="52"/>
  <c r="J62" i="52"/>
  <c r="M62" i="52"/>
  <c r="J63" i="52"/>
  <c r="M63" i="52"/>
  <c r="J64" i="52"/>
  <c r="M64" i="52"/>
  <c r="J65" i="52"/>
  <c r="M65" i="52"/>
  <c r="J66" i="52"/>
  <c r="M66" i="52"/>
  <c r="J67" i="52"/>
  <c r="M67" i="52"/>
  <c r="J68" i="52"/>
  <c r="M68" i="52"/>
  <c r="J69" i="52"/>
  <c r="M69" i="52"/>
  <c r="J70" i="52"/>
  <c r="M70" i="52"/>
  <c r="J71" i="52"/>
  <c r="M71" i="52"/>
  <c r="J72" i="52"/>
  <c r="M72" i="52"/>
  <c r="J10" i="48"/>
  <c r="M10" i="48"/>
  <c r="J11" i="48"/>
  <c r="M11" i="48"/>
  <c r="J12" i="48"/>
  <c r="M12" i="48"/>
  <c r="J13" i="48"/>
  <c r="M13" i="48"/>
  <c r="J14" i="48"/>
  <c r="M14" i="48"/>
  <c r="J15" i="48"/>
  <c r="M15" i="48"/>
  <c r="J17" i="48"/>
  <c r="M17" i="48"/>
  <c r="J18" i="48"/>
  <c r="M18" i="48"/>
  <c r="J20" i="48"/>
  <c r="M20" i="48"/>
  <c r="J21" i="48"/>
  <c r="M21" i="48"/>
  <c r="J22" i="48"/>
  <c r="M22" i="48"/>
  <c r="J23" i="48"/>
  <c r="M23" i="48"/>
  <c r="J24" i="48"/>
  <c r="M24" i="48"/>
  <c r="J25" i="48"/>
  <c r="M25" i="48"/>
  <c r="J26" i="48"/>
  <c r="M26" i="48"/>
  <c r="J27" i="48"/>
  <c r="M27" i="48"/>
  <c r="J28" i="48"/>
  <c r="M28" i="48"/>
  <c r="J29" i="48"/>
  <c r="M29" i="48"/>
  <c r="J30" i="48"/>
  <c r="M30" i="48"/>
  <c r="J31" i="48"/>
  <c r="M31" i="48"/>
  <c r="J32" i="48"/>
  <c r="M32" i="48"/>
  <c r="J33" i="48"/>
  <c r="M33" i="48"/>
  <c r="J34" i="48"/>
  <c r="M34" i="48"/>
  <c r="J35" i="48"/>
  <c r="M35" i="48"/>
  <c r="M18" i="82"/>
  <c r="M17" i="82"/>
  <c r="J18" i="82"/>
  <c r="J17" i="82"/>
  <c r="J17" i="46"/>
  <c r="M17" i="46"/>
  <c r="J18" i="46"/>
  <c r="M18" i="46"/>
  <c r="J19" i="46"/>
  <c r="M19" i="46"/>
  <c r="J20" i="46"/>
  <c r="M20" i="46"/>
  <c r="J21" i="46"/>
  <c r="M21" i="46"/>
  <c r="J22" i="46"/>
  <c r="M22" i="46"/>
  <c r="J23" i="46"/>
  <c r="M23" i="46"/>
  <c r="J24" i="46"/>
  <c r="M24" i="46"/>
  <c r="J25" i="46"/>
  <c r="M25" i="46"/>
  <c r="J17" i="92"/>
  <c r="M17" i="92"/>
  <c r="J18" i="92"/>
  <c r="M18" i="92"/>
  <c r="J19" i="92"/>
  <c r="M19" i="92"/>
  <c r="J20" i="92"/>
  <c r="M20" i="92"/>
  <c r="J21" i="92"/>
  <c r="M21" i="92"/>
  <c r="J22" i="92"/>
  <c r="M22" i="92"/>
  <c r="J23" i="92"/>
  <c r="M23" i="92"/>
  <c r="J24" i="92"/>
  <c r="M24" i="92"/>
  <c r="J25" i="92"/>
  <c r="M25" i="92"/>
  <c r="J26" i="92"/>
  <c r="M26" i="92"/>
  <c r="J27" i="92"/>
  <c r="M27" i="92"/>
  <c r="J28" i="92"/>
  <c r="M28" i="92"/>
  <c r="J29" i="92"/>
  <c r="M29" i="92"/>
  <c r="J20" i="41"/>
  <c r="M20" i="41"/>
  <c r="J55" i="41"/>
  <c r="M55" i="41"/>
  <c r="J40" i="41"/>
  <c r="M40" i="41"/>
  <c r="J41" i="41"/>
  <c r="M41" i="41"/>
  <c r="J42" i="41"/>
  <c r="M42" i="41"/>
  <c r="J43" i="41"/>
  <c r="M43" i="41"/>
  <c r="J52" i="41"/>
  <c r="M52" i="41"/>
  <c r="J44" i="41"/>
  <c r="M44" i="41"/>
  <c r="J9" i="41"/>
  <c r="M9" i="41"/>
  <c r="J37" i="41"/>
  <c r="M37" i="41"/>
  <c r="J11" i="41"/>
  <c r="M11" i="41"/>
  <c r="J10" i="41"/>
  <c r="M10" i="41"/>
  <c r="J34" i="41"/>
  <c r="M34" i="41"/>
  <c r="J35" i="41"/>
  <c r="M35" i="41"/>
  <c r="J53" i="41"/>
  <c r="M53" i="41"/>
  <c r="J14" i="41"/>
  <c r="M14" i="41"/>
  <c r="J45" i="41"/>
  <c r="M45" i="41"/>
  <c r="J46" i="41"/>
  <c r="M46" i="41"/>
  <c r="J51" i="41"/>
  <c r="M51" i="41"/>
  <c r="J22" i="41"/>
  <c r="M22" i="41"/>
  <c r="J12" i="41"/>
  <c r="M12" i="41"/>
  <c r="J47" i="41"/>
  <c r="M47" i="41"/>
  <c r="J25" i="41"/>
  <c r="M25" i="41"/>
  <c r="J48" i="41"/>
  <c r="M48" i="41"/>
  <c r="J49" i="41"/>
  <c r="M49" i="41"/>
  <c r="J18" i="41"/>
  <c r="M18" i="41"/>
  <c r="M27" i="41"/>
  <c r="J50" i="41"/>
  <c r="M50" i="41"/>
  <c r="J36" i="41"/>
  <c r="M36" i="41"/>
  <c r="J54" i="41"/>
  <c r="M54" i="41"/>
  <c r="J23" i="41"/>
  <c r="M23" i="41"/>
  <c r="J21" i="41"/>
  <c r="M21" i="41"/>
  <c r="J19" i="41"/>
  <c r="M19" i="41"/>
  <c r="J24" i="41"/>
  <c r="M24" i="41"/>
  <c r="J15" i="41"/>
  <c r="M15" i="41"/>
  <c r="J17" i="41"/>
  <c r="M17" i="41"/>
  <c r="A2" i="96"/>
  <c r="A222" i="96"/>
  <c r="A223" i="96"/>
  <c r="A275" i="96"/>
  <c r="A276" i="96"/>
  <c r="A277" i="96"/>
  <c r="A53" i="96"/>
  <c r="A54" i="96"/>
  <c r="A55" i="96"/>
  <c r="A56" i="96"/>
  <c r="A57" i="96"/>
  <c r="A58" i="96"/>
  <c r="A59" i="96"/>
  <c r="A60" i="96"/>
  <c r="A61" i="96"/>
  <c r="A62" i="96"/>
  <c r="A63" i="96"/>
  <c r="A64" i="96"/>
  <c r="A65" i="96"/>
  <c r="A66" i="96"/>
  <c r="A67" i="96"/>
  <c r="A68" i="96"/>
  <c r="A69" i="96"/>
  <c r="A70" i="96"/>
  <c r="A71" i="96"/>
  <c r="A72" i="96"/>
  <c r="A73" i="96"/>
  <c r="A241" i="96"/>
  <c r="A74" i="96"/>
  <c r="A75" i="96"/>
  <c r="A76" i="96"/>
  <c r="A77" i="96"/>
  <c r="A78" i="96"/>
  <c r="A79" i="96"/>
  <c r="A80" i="96"/>
  <c r="A81" i="96"/>
  <c r="A82" i="96"/>
  <c r="A83" i="96"/>
  <c r="A84" i="96"/>
  <c r="A85" i="96"/>
  <c r="A86" i="96"/>
  <c r="A87" i="96"/>
  <c r="A88" i="96"/>
  <c r="A89" i="96"/>
  <c r="A90" i="96"/>
  <c r="A224" i="96"/>
  <c r="A225" i="96"/>
  <c r="A226" i="96"/>
  <c r="A227" i="96"/>
  <c r="A228" i="96"/>
  <c r="A229" i="96"/>
  <c r="A230" i="96"/>
  <c r="A231" i="96"/>
  <c r="A232" i="96"/>
  <c r="A233" i="96"/>
  <c r="A234" i="96"/>
  <c r="A235" i="96"/>
  <c r="A236" i="96"/>
  <c r="A237" i="96"/>
  <c r="A238" i="96"/>
  <c r="A239" i="96"/>
  <c r="A240" i="96"/>
  <c r="A252" i="96"/>
  <c r="A253" i="96"/>
  <c r="A126" i="96"/>
  <c r="A127" i="96"/>
  <c r="A128" i="96"/>
  <c r="A278" i="96"/>
  <c r="A279" i="96"/>
  <c r="A280" i="96"/>
  <c r="A281" i="96"/>
  <c r="A282" i="96"/>
  <c r="A283" i="96"/>
  <c r="A284" i="96"/>
  <c r="A285" i="96"/>
  <c r="A286" i="96"/>
  <c r="A287" i="96"/>
  <c r="A288" i="96"/>
  <c r="A289" i="96"/>
  <c r="A290" i="96"/>
  <c r="A291" i="96"/>
  <c r="A292" i="96"/>
  <c r="A293" i="96"/>
  <c r="A294" i="96"/>
  <c r="A295" i="96"/>
  <c r="A296" i="96"/>
  <c r="A3" i="96"/>
  <c r="A4" i="96"/>
  <c r="A5" i="96"/>
  <c r="A6" i="96"/>
  <c r="A7" i="96"/>
  <c r="A8" i="96"/>
  <c r="A273" i="96"/>
  <c r="A274" i="96"/>
  <c r="A9" i="96"/>
  <c r="A10" i="96"/>
  <c r="A11" i="96"/>
  <c r="A12" i="96"/>
  <c r="A13" i="96"/>
  <c r="A14" i="96"/>
  <c r="A15" i="96"/>
  <c r="A16" i="96"/>
  <c r="A17" i="96"/>
  <c r="A18" i="96"/>
  <c r="A19" i="96"/>
  <c r="A20" i="96"/>
  <c r="A21" i="96"/>
  <c r="A22" i="96"/>
  <c r="A23" i="96"/>
  <c r="A24" i="96"/>
  <c r="A25" i="96"/>
  <c r="A26" i="96"/>
  <c r="A27" i="96"/>
  <c r="A28" i="96"/>
  <c r="A29" i="96"/>
  <c r="A30" i="96"/>
  <c r="A31" i="96"/>
  <c r="A32" i="96"/>
  <c r="A33" i="96"/>
  <c r="A34" i="96"/>
  <c r="A35" i="96"/>
  <c r="A36" i="96"/>
  <c r="A37" i="96"/>
  <c r="A38" i="96"/>
  <c r="A39" i="96"/>
  <c r="A40" i="96"/>
  <c r="A41" i="96"/>
  <c r="A42" i="96"/>
  <c r="A43" i="96"/>
  <c r="A44" i="96"/>
  <c r="A45" i="96"/>
  <c r="A46" i="96"/>
  <c r="A47" i="96"/>
  <c r="A48" i="96"/>
  <c r="A49" i="96"/>
  <c r="A50" i="96"/>
  <c r="A51" i="96"/>
  <c r="A52" i="96"/>
  <c r="A91" i="96"/>
  <c r="A92" i="96"/>
  <c r="A93" i="96"/>
  <c r="A94" i="96"/>
  <c r="A95" i="96"/>
  <c r="A96" i="96"/>
  <c r="A97" i="96"/>
  <c r="A98" i="96"/>
  <c r="A99" i="96"/>
  <c r="A100" i="96"/>
  <c r="A304" i="96"/>
  <c r="A305" i="96"/>
  <c r="A306" i="96"/>
  <c r="A307" i="96"/>
  <c r="A254" i="96"/>
  <c r="A255" i="96"/>
  <c r="A297" i="96"/>
  <c r="A298" i="96"/>
  <c r="A299" i="96"/>
  <c r="A300" i="96"/>
  <c r="A301" i="96"/>
  <c r="A302" i="96"/>
  <c r="A303" i="96"/>
  <c r="A256" i="96"/>
  <c r="A257" i="96"/>
  <c r="A258" i="96"/>
  <c r="A259" i="96"/>
  <c r="A260" i="96"/>
  <c r="A261" i="96"/>
  <c r="A262" i="96"/>
  <c r="A263" i="96"/>
  <c r="A264" i="96"/>
  <c r="A265" i="96"/>
  <c r="A266" i="96"/>
  <c r="A267" i="96"/>
  <c r="A268" i="96"/>
  <c r="A269" i="96"/>
  <c r="A270" i="96"/>
  <c r="A271" i="96"/>
  <c r="A272" i="96"/>
  <c r="A129" i="96"/>
  <c r="A130" i="96"/>
  <c r="A131" i="96"/>
  <c r="A132" i="96"/>
  <c r="A133" i="96"/>
  <c r="A134" i="96"/>
  <c r="A135" i="96"/>
  <c r="A136" i="96"/>
  <c r="A137" i="96"/>
  <c r="A138" i="96"/>
  <c r="A139" i="96"/>
  <c r="A140" i="96"/>
  <c r="A141" i="96"/>
  <c r="A142" i="96"/>
  <c r="A143" i="96"/>
  <c r="A144" i="96"/>
  <c r="A145" i="96"/>
  <c r="A146" i="96"/>
  <c r="A147" i="96"/>
  <c r="A148" i="96"/>
  <c r="A149" i="96"/>
  <c r="A150" i="96"/>
  <c r="A151" i="96"/>
  <c r="A152" i="96"/>
  <c r="A153" i="96"/>
  <c r="A154" i="96"/>
  <c r="A155" i="96"/>
  <c r="A156" i="96"/>
  <c r="A157" i="96"/>
  <c r="A158" i="96"/>
  <c r="A159" i="96"/>
  <c r="A160" i="96"/>
  <c r="A161" i="96"/>
  <c r="A162" i="96"/>
  <c r="A163" i="96"/>
  <c r="A164" i="96"/>
  <c r="A165" i="96"/>
  <c r="A166" i="96"/>
  <c r="A167" i="96"/>
  <c r="A168" i="96"/>
  <c r="A169" i="96"/>
  <c r="A170" i="96"/>
  <c r="A171" i="96"/>
  <c r="A172" i="96"/>
  <c r="A173" i="96"/>
  <c r="A174" i="96"/>
  <c r="A175" i="96"/>
  <c r="A176" i="96"/>
  <c r="A177" i="96"/>
  <c r="A178" i="96"/>
  <c r="A179" i="96"/>
  <c r="A180" i="96"/>
  <c r="A181" i="96"/>
  <c r="A182" i="96"/>
  <c r="A183" i="96"/>
  <c r="A184" i="96"/>
  <c r="A185" i="96"/>
  <c r="A186" i="96"/>
  <c r="A187" i="96"/>
  <c r="A188" i="96"/>
  <c r="A189" i="96"/>
  <c r="A190" i="96"/>
  <c r="A191" i="96"/>
  <c r="A192" i="96"/>
  <c r="A193" i="96"/>
  <c r="A194" i="96"/>
  <c r="A195" i="96"/>
  <c r="A196" i="96"/>
  <c r="A197" i="96"/>
  <c r="A198" i="96"/>
  <c r="A199" i="96"/>
  <c r="A200" i="96"/>
  <c r="A201" i="96"/>
  <c r="A202" i="96"/>
  <c r="A203" i="96"/>
  <c r="A204" i="96"/>
  <c r="A205" i="96"/>
  <c r="A101" i="96"/>
  <c r="A102" i="96"/>
  <c r="A103" i="96"/>
  <c r="A104" i="96"/>
  <c r="A105" i="96"/>
  <c r="A106" i="96"/>
  <c r="A107" i="96"/>
  <c r="A108" i="96"/>
  <c r="A109" i="96"/>
  <c r="A110" i="96"/>
  <c r="A111" i="96"/>
  <c r="A112" i="96"/>
  <c r="A113" i="96"/>
  <c r="A114" i="96"/>
  <c r="A115" i="96"/>
  <c r="A116" i="96"/>
  <c r="A117" i="96"/>
  <c r="A118" i="96"/>
  <c r="A119" i="96"/>
  <c r="A120" i="96"/>
  <c r="A121" i="96"/>
  <c r="A122" i="96"/>
  <c r="A123" i="96"/>
  <c r="A124" i="96"/>
  <c r="A125" i="96"/>
  <c r="A242" i="96"/>
  <c r="A243" i="96"/>
  <c r="A244" i="96"/>
  <c r="A245" i="96"/>
  <c r="A246" i="96"/>
  <c r="A247" i="96"/>
  <c r="A248" i="96"/>
  <c r="A249" i="96"/>
  <c r="A250" i="96"/>
  <c r="A251" i="96"/>
  <c r="A206" i="96"/>
  <c r="A207" i="96"/>
  <c r="A208" i="96"/>
  <c r="A209" i="96"/>
  <c r="A210" i="96"/>
  <c r="A211" i="96"/>
  <c r="A212" i="96"/>
  <c r="A213" i="96"/>
  <c r="A214" i="96"/>
  <c r="A215" i="96"/>
  <c r="A216" i="96"/>
  <c r="A217" i="96"/>
  <c r="A218" i="96"/>
  <c r="A219" i="96"/>
  <c r="A220" i="96"/>
  <c r="A221" i="96"/>
  <c r="B5" i="127"/>
  <c r="B5" i="130"/>
  <c r="B5" i="109"/>
  <c r="B5" i="70"/>
  <c r="B5" i="124"/>
  <c r="B5" i="120"/>
  <c r="B5" i="129"/>
  <c r="B5" i="95"/>
  <c r="M12" i="127"/>
  <c r="J12" i="127"/>
  <c r="M11" i="127"/>
  <c r="J11" i="127"/>
  <c r="M10" i="127"/>
  <c r="J10" i="127"/>
  <c r="M9" i="127"/>
  <c r="J9" i="127"/>
  <c r="B6" i="127"/>
  <c r="M15" i="130"/>
  <c r="J15" i="130"/>
  <c r="M14" i="130"/>
  <c r="J14" i="130"/>
  <c r="M13" i="130"/>
  <c r="J13" i="130"/>
  <c r="M12" i="130"/>
  <c r="J12" i="130"/>
  <c r="M11" i="130"/>
  <c r="J11" i="130"/>
  <c r="M10" i="130"/>
  <c r="M9" i="130"/>
  <c r="J9" i="130"/>
  <c r="B6" i="130"/>
  <c r="M16" i="109"/>
  <c r="J16" i="109"/>
  <c r="M15" i="109"/>
  <c r="J15" i="109"/>
  <c r="M14" i="109"/>
  <c r="J14" i="109"/>
  <c r="M13" i="109"/>
  <c r="J13" i="109"/>
  <c r="M12" i="109"/>
  <c r="J12" i="109"/>
  <c r="M11" i="109"/>
  <c r="J11" i="109"/>
  <c r="M10" i="109"/>
  <c r="J10" i="109"/>
  <c r="M9" i="109"/>
  <c r="J9" i="109"/>
  <c r="B6" i="109"/>
  <c r="M11" i="70"/>
  <c r="J11" i="70"/>
  <c r="M10" i="70"/>
  <c r="J10" i="70"/>
  <c r="M9" i="70"/>
  <c r="J9" i="70"/>
  <c r="B6" i="70"/>
  <c r="M10" i="124"/>
  <c r="J10" i="124"/>
  <c r="M9" i="124"/>
  <c r="J9" i="124"/>
  <c r="B6" i="124"/>
  <c r="M16" i="120"/>
  <c r="J16" i="120"/>
  <c r="M15" i="120"/>
  <c r="J15" i="120"/>
  <c r="M14" i="120"/>
  <c r="J14" i="120"/>
  <c r="M13" i="120"/>
  <c r="J13" i="120"/>
  <c r="M12" i="120"/>
  <c r="J12" i="120"/>
  <c r="M11" i="120"/>
  <c r="J11" i="120"/>
  <c r="M10" i="120"/>
  <c r="J10" i="120"/>
  <c r="M9" i="120"/>
  <c r="J9" i="120"/>
  <c r="B6" i="120"/>
  <c r="M10" i="129"/>
  <c r="J10" i="129"/>
  <c r="M9" i="129"/>
  <c r="J9" i="129"/>
  <c r="B6" i="129"/>
  <c r="M10" i="95"/>
  <c r="J10" i="95"/>
  <c r="M9" i="95"/>
  <c r="J9" i="95"/>
  <c r="B6" i="95"/>
  <c r="B5" i="132"/>
  <c r="B5" i="107"/>
  <c r="B5" i="59"/>
  <c r="B5" i="60"/>
  <c r="B5" i="121"/>
  <c r="B5" i="112"/>
  <c r="B5" i="52"/>
  <c r="B5" i="116"/>
  <c r="B6" i="116"/>
  <c r="J9" i="116"/>
  <c r="M9" i="116"/>
  <c r="J10" i="116"/>
  <c r="M10" i="116"/>
  <c r="J11" i="116"/>
  <c r="M11" i="116"/>
  <c r="B5" i="48"/>
  <c r="B5" i="82"/>
  <c r="B5" i="46"/>
  <c r="B5" i="92"/>
  <c r="B5" i="41"/>
  <c r="B5" i="123"/>
  <c r="M9" i="59"/>
  <c r="J9" i="59"/>
  <c r="B6" i="59"/>
  <c r="M9" i="107"/>
  <c r="J9" i="107"/>
  <c r="B6" i="107"/>
  <c r="M16" i="132"/>
  <c r="J16" i="132"/>
  <c r="M15" i="132"/>
  <c r="J15" i="132"/>
  <c r="M14" i="132"/>
  <c r="J14" i="132"/>
  <c r="M13" i="132"/>
  <c r="J13" i="132"/>
  <c r="M12" i="132"/>
  <c r="J12" i="132"/>
  <c r="M11" i="132"/>
  <c r="J11" i="132"/>
  <c r="M10" i="132"/>
  <c r="J10" i="132"/>
  <c r="M9" i="132"/>
  <c r="J9" i="132"/>
  <c r="B6" i="132"/>
  <c r="M10" i="60"/>
  <c r="J10" i="60"/>
  <c r="M9" i="60"/>
  <c r="J9" i="60"/>
  <c r="B6" i="60"/>
  <c r="M9" i="52"/>
  <c r="J9" i="52"/>
  <c r="B6" i="52"/>
  <c r="M9" i="112"/>
  <c r="J9" i="112"/>
  <c r="B6" i="112"/>
  <c r="M9" i="121"/>
  <c r="J9" i="121"/>
  <c r="B6" i="121"/>
  <c r="M9" i="48"/>
  <c r="J9" i="48"/>
  <c r="B6" i="48"/>
  <c r="M16" i="46"/>
  <c r="J16" i="46"/>
  <c r="M15" i="46"/>
  <c r="J15" i="46"/>
  <c r="M14" i="46"/>
  <c r="J14" i="46"/>
  <c r="M13" i="46"/>
  <c r="J13" i="46"/>
  <c r="M12" i="46"/>
  <c r="J12" i="46"/>
  <c r="M11" i="46"/>
  <c r="J11" i="46"/>
  <c r="M10" i="46"/>
  <c r="J10" i="46"/>
  <c r="M9" i="46"/>
  <c r="J9" i="46"/>
  <c r="B6" i="46"/>
  <c r="M16" i="82"/>
  <c r="J16" i="82"/>
  <c r="M15" i="82"/>
  <c r="J15" i="82"/>
  <c r="M14" i="82"/>
  <c r="J14" i="82"/>
  <c r="M13" i="82"/>
  <c r="J13" i="82"/>
  <c r="M12" i="82"/>
  <c r="J12" i="82"/>
  <c r="M11" i="82"/>
  <c r="J11" i="82"/>
  <c r="M10" i="82"/>
  <c r="J10" i="82"/>
  <c r="M9" i="82"/>
  <c r="J9" i="82"/>
  <c r="B6" i="82"/>
  <c r="M9" i="103"/>
  <c r="B6" i="103"/>
  <c r="B5" i="103"/>
  <c r="M14" i="123"/>
  <c r="J14" i="123"/>
  <c r="M13" i="123"/>
  <c r="J13" i="123"/>
  <c r="M12" i="123"/>
  <c r="J12" i="123"/>
  <c r="M11" i="123"/>
  <c r="J11" i="123"/>
  <c r="M10" i="123"/>
  <c r="J10" i="123"/>
  <c r="M9" i="123"/>
  <c r="J9" i="123"/>
  <c r="B6" i="123"/>
  <c r="M13" i="41"/>
  <c r="J13" i="41"/>
  <c r="M38" i="41"/>
  <c r="J38" i="41"/>
  <c r="M32" i="41"/>
  <c r="J32" i="41"/>
  <c r="M33" i="41"/>
  <c r="J33" i="41"/>
  <c r="M31" i="41"/>
  <c r="J31" i="41"/>
  <c r="M30" i="41"/>
  <c r="J30" i="41"/>
  <c r="M29" i="41"/>
  <c r="J29" i="41"/>
  <c r="M39" i="41"/>
  <c r="J39" i="41"/>
  <c r="B6" i="41"/>
  <c r="M16" i="92"/>
  <c r="J16" i="92"/>
  <c r="M15" i="92"/>
  <c r="J15" i="92"/>
  <c r="M14" i="92"/>
  <c r="J14" i="92"/>
  <c r="M13" i="92"/>
  <c r="J13" i="92"/>
  <c r="M12" i="92"/>
  <c r="J12" i="92"/>
  <c r="M11" i="92"/>
  <c r="J11" i="92"/>
  <c r="M10" i="92"/>
  <c r="J10" i="92"/>
  <c r="M9" i="92"/>
  <c r="J9" i="92"/>
  <c r="B6" i="92"/>
  <c r="K3" i="48" l="1"/>
  <c r="K4" i="48" s="1"/>
  <c r="K3" i="41"/>
  <c r="K4" i="41" s="1"/>
  <c r="E6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PatriceR</author>
  </authors>
  <commentList>
    <comment ref="B15" authorId="0" shapeId="0" xr:uid="{04828802-33E5-4876-9EFF-AAC22F0B3ECA}">
      <text>
        <r>
          <rPr>
            <b/>
            <sz val="9"/>
            <color indexed="81"/>
            <rFont val="Tahoma"/>
            <family val="2"/>
          </rPr>
          <t xml:space="preserve">
Express any Credit Amounts to be included in invoice as a Negative Value</t>
        </r>
      </text>
    </comment>
  </commentList>
</comments>
</file>

<file path=xl/sharedStrings.xml><?xml version="1.0" encoding="utf-8"?>
<sst xmlns="http://schemas.openxmlformats.org/spreadsheetml/2006/main" count="3041" uniqueCount="576">
  <si>
    <t>Batch</t>
  </si>
  <si>
    <t>Batch Desc</t>
  </si>
  <si>
    <t>Mastercard Invoices (August 2025)</t>
  </si>
  <si>
    <t>Reference</t>
  </si>
  <si>
    <t>MC-250816</t>
  </si>
  <si>
    <t>Document Date</t>
  </si>
  <si>
    <t>Posting Date</t>
  </si>
  <si>
    <t>LOG IN DETAILS</t>
  </si>
  <si>
    <t>User</t>
  </si>
  <si>
    <t>eTimesheet User</t>
  </si>
  <si>
    <t>Password</t>
  </si>
  <si>
    <t>gekko</t>
  </si>
  <si>
    <t>Employee to code &amp; narrate</t>
  </si>
  <si>
    <t>To be copied in to pronto</t>
  </si>
  <si>
    <t>Scott Baker</t>
  </si>
  <si>
    <t xml:space="preserve"> EMPLOYEES DO NOT CHANGE</t>
  </si>
  <si>
    <t>Credit card holder to add details</t>
  </si>
  <si>
    <t xml:space="preserve"> Date</t>
  </si>
  <si>
    <t xml:space="preserve"> Narrative</t>
  </si>
  <si>
    <t xml:space="preserve"> Debit Amount</t>
  </si>
  <si>
    <t xml:space="preserve"> Credit Amount</t>
  </si>
  <si>
    <t xml:space="preserve">Description </t>
  </si>
  <si>
    <t>Project No</t>
  </si>
  <si>
    <t>Cost Category</t>
  </si>
  <si>
    <t>GL account</t>
  </si>
  <si>
    <t>Account</t>
  </si>
  <si>
    <t>Tax</t>
  </si>
  <si>
    <t>Amount</t>
  </si>
  <si>
    <t>Tax CODE</t>
  </si>
  <si>
    <t>TAX Amount (leave blank)</t>
  </si>
  <si>
    <t>CBS - Only if required</t>
  </si>
  <si>
    <t>BUNNINGS 329000 DELACOMBE AUS</t>
  </si>
  <si>
    <t>I</t>
  </si>
  <si>
    <t>T</t>
  </si>
  <si>
    <t>CBS - needs to be pasted seperately</t>
  </si>
  <si>
    <t>Simon Barclay</t>
  </si>
  <si>
    <t>Description</t>
  </si>
  <si>
    <t>WOOLWORTHS      3066 ALFREDTON AUS</t>
  </si>
  <si>
    <t>LINKT MELBOURNE MELBOURNE AUS</t>
  </si>
  <si>
    <t>OFFICEWORKS 0364OFFICE BALLARAT AUS</t>
  </si>
  <si>
    <t>J AND M CATERING SERVI WENDOUREE AUS</t>
  </si>
  <si>
    <t>T Bell</t>
  </si>
  <si>
    <t>UBER *TRIP HELP.UBER.C 14518236738 AUS</t>
  </si>
  <si>
    <t>MCDONALDS WENDOUREE WENDOUREE AUS</t>
  </si>
  <si>
    <t>North Star Hotel SOLDIERS HI AUS</t>
  </si>
  <si>
    <t>THE CITY OVAL HOTEL BA BALLARAT CE AUS</t>
  </si>
  <si>
    <t>DELAWARE NORTH RETAQPS REDCLIFFE AUS</t>
  </si>
  <si>
    <t>GRILL'D BALLARAT BALLARAT AUS</t>
  </si>
  <si>
    <t>ZLR*M1FLATC Melbourne A AUS</t>
  </si>
  <si>
    <t>VIBE PETROLEUM WELSHPOOL AUS</t>
  </si>
  <si>
    <t>BELMONTS CAFE BELMONT AUS</t>
  </si>
  <si>
    <t>SQ *NOURISH KITCHEN &amp; Leederville AUS</t>
  </si>
  <si>
    <t>BP STHERN CROS1932 SOUTHERN CR AUS</t>
  </si>
  <si>
    <t>BP GOLDEN GATE 1896 KALGOORLIE AUS</t>
  </si>
  <si>
    <t>PALACE HOTEL KALGOORL Kalgoorlie AUS</t>
  </si>
  <si>
    <t>WIZ PHY KALGOORLIE KALGOORLIE AUS</t>
  </si>
  <si>
    <t>Exchange Hotel Kalgoorlie AUS</t>
  </si>
  <si>
    <t>UBER* TRIP SYDNEY AUS</t>
  </si>
  <si>
    <t>Kwik Kopy Canning Vale Canning Val AUS</t>
  </si>
  <si>
    <t>CHILDRENS MEDICAL RESE WESTMEAD AUS</t>
  </si>
  <si>
    <t>LENA'S BAR Perth AUS</t>
  </si>
  <si>
    <t>GOOD GROCER    L0030 LEEDERVILLE AUS</t>
  </si>
  <si>
    <t>LOUVE PERTH AUS</t>
  </si>
  <si>
    <t>ROSSMOYNE IGA ROSSMOYNE AUS</t>
  </si>
  <si>
    <t>WIZ PHY ROSSMOYNE ROSSMOYNE AUS</t>
  </si>
  <si>
    <t>GRILLD PTY LTD - LEEDE LEEDERVILLE AUS</t>
  </si>
  <si>
    <t>LEEDERVILLE MINI MAR LEEDERVILLE AUS</t>
  </si>
  <si>
    <t>FIBBER MCGEE 'S LEEDERVILLE AUS</t>
  </si>
  <si>
    <t>GASTECH AUSTRALIA WANGARA AUS</t>
  </si>
  <si>
    <t>Michael Brown</t>
  </si>
  <si>
    <t>Powerboards</t>
  </si>
  <si>
    <t>1084</t>
  </si>
  <si>
    <t>repm</t>
  </si>
  <si>
    <t>BALLARAT SAFETY PTY L BALLARAT AUS</t>
  </si>
  <si>
    <t>Safety boot insole</t>
  </si>
  <si>
    <t>sppe</t>
  </si>
  <si>
    <t>Industrial World BALLARAT AUS</t>
  </si>
  <si>
    <t>PV5 drive belts</t>
  </si>
  <si>
    <t>1051g</t>
  </si>
  <si>
    <t>TOTAL TOOLS BALLARAT BALLARAT AUS</t>
  </si>
  <si>
    <t>Gas burner for weed removal</t>
  </si>
  <si>
    <t>STARLINK INTERNET Sydney AUS</t>
  </si>
  <si>
    <t>Mt Coghill inernet</t>
  </si>
  <si>
    <t>inte</t>
  </si>
  <si>
    <t>15 amp Switch lead</t>
  </si>
  <si>
    <t>UNITED BALLARAT EURE WENDOUREE AUS</t>
  </si>
  <si>
    <t>Ute fuel</t>
  </si>
  <si>
    <t>mvpf</t>
  </si>
  <si>
    <t>AWM WENDOUREE WENDOUREE AUS</t>
  </si>
  <si>
    <t>B1 airconditioners</t>
  </si>
  <si>
    <t>CRED VOUCHER AWM WENDOUREE WENDOUREE AUS</t>
  </si>
  <si>
    <t>Overcharge credit</t>
  </si>
  <si>
    <t>L&amp;H WENDOUREE WENDOUREE AUS</t>
  </si>
  <si>
    <t>Ballarat Materials Ha MITCHELL PA AUS</t>
  </si>
  <si>
    <t>Pallet rack load limit signs</t>
  </si>
  <si>
    <t>AVENUTUM BALLARAT BALLARAT AUS</t>
  </si>
  <si>
    <t>PV5 safety switck</t>
  </si>
  <si>
    <t>Ballarat Bolts &amp; Fast DELACOMBE AUS</t>
  </si>
  <si>
    <t>PV5 bolts</t>
  </si>
  <si>
    <t>Coach bolts</t>
  </si>
  <si>
    <t>STERIDIUM PTY LTD CLEAR ISLAN AUS</t>
  </si>
  <si>
    <t>Assay oven controler</t>
  </si>
  <si>
    <t>LM5 cables</t>
  </si>
  <si>
    <t>Assay oven fan motors</t>
  </si>
  <si>
    <t>COLES 0628COLES 0628 BALLARAT AUS</t>
  </si>
  <si>
    <t>B2 kitchen supplies</t>
  </si>
  <si>
    <t>B2 rubbish bin</t>
  </si>
  <si>
    <t>Mark Donadio</t>
  </si>
  <si>
    <t>SP XNOTE DOVER USA</t>
  </si>
  <si>
    <t>trial of Ai writing tools x 3</t>
  </si>
  <si>
    <t>ITHA</t>
  </si>
  <si>
    <t>SP RED DRAGON NUTRIT WOONONA AUS</t>
  </si>
  <si>
    <t>Personal Exp</t>
  </si>
  <si>
    <t>PERS</t>
  </si>
  <si>
    <t>CRUST - BALLARAT ROBINA AUS</t>
  </si>
  <si>
    <t>Wednesday lunch</t>
  </si>
  <si>
    <t>ENON</t>
  </si>
  <si>
    <t>SP RUNAWAYTHELABEL.COM MARRICKVILL AUS</t>
  </si>
  <si>
    <t>DNH*GODADDY#3840902371 SYDNEY AUS</t>
  </si>
  <si>
    <t>Domain registrations</t>
  </si>
  <si>
    <t>WEBS</t>
  </si>
  <si>
    <t>Lunch on Go Live weekend</t>
  </si>
  <si>
    <t>SQ *NAOMI &amp; I Soldiers Hi AUS</t>
  </si>
  <si>
    <t>Morning tea</t>
  </si>
  <si>
    <t>BWS LIQUOR      3834 WENDOUREE AUS</t>
  </si>
  <si>
    <t>Gift for Daniel V (Staff costs and Amenities)</t>
  </si>
  <si>
    <t>STAF</t>
  </si>
  <si>
    <t>WOOLWORTHS      3309 WENDOUREE AUS</t>
  </si>
  <si>
    <t>BAKERS DELIGHT WENDOUR WENDOUREE AUS</t>
  </si>
  <si>
    <t>LinkedIn 10459237796 NORTH SYDNE AUS</t>
  </si>
  <si>
    <t>LinkedIn Recruiter</t>
  </si>
  <si>
    <t>RECR</t>
  </si>
  <si>
    <t>Internet</t>
  </si>
  <si>
    <t>INTE</t>
  </si>
  <si>
    <t>Lisa Duva</t>
  </si>
  <si>
    <t>TSUKE BA LEEDERVILLE AUS</t>
  </si>
  <si>
    <t>GYG Leederville Leederville AUS</t>
  </si>
  <si>
    <t>AUZICAB 0478 045 250 SOUTHERN RI AUS</t>
  </si>
  <si>
    <t>COMPASS GOLDRDGRUYERE LAVERTON AUS</t>
  </si>
  <si>
    <t>SWAN TAXIS PTY LTD VICTORIA PA AUS</t>
  </si>
  <si>
    <t>Andrew Edmondston</t>
  </si>
  <si>
    <t>Bakers Delight Ballarat Ci AUS</t>
  </si>
  <si>
    <t>GOLDEN NUGGET BAKERY Wendouree AUS</t>
  </si>
  <si>
    <t>RYANS IGA MIDVALE MOUNT CLEAR AUS</t>
  </si>
  <si>
    <t>Subway Wendouree Lake Wendou AUS</t>
  </si>
  <si>
    <t>POST WENDOUREE VILLAGE WENDOUREE AUS</t>
  </si>
  <si>
    <t>MYKI BALLARAT RS BAT BALLARAT CE AUS</t>
  </si>
  <si>
    <t>SQ *SHOWTIME EVENT GRO Melbourne AUS</t>
  </si>
  <si>
    <t>CA ANZ SYDNEY AUS</t>
  </si>
  <si>
    <t>2 BLOKES  COFFEE ROAST MOUNT HELEN AUS</t>
  </si>
  <si>
    <t>F</t>
  </si>
  <si>
    <t>ZLR*Liv Eat Western Jun AUS</t>
  </si>
  <si>
    <t>THE FORESHORE TASMANIA BURNIE AUS</t>
  </si>
  <si>
    <t>BELINDA SHEREE DUDFIEL BURNIE AUS</t>
  </si>
  <si>
    <t>One North Terrace Burnie AUS</t>
  </si>
  <si>
    <t>Penguin Country Bakeh Penguin AUS</t>
  </si>
  <si>
    <t>SQ *EMBER &amp; VINES Burnie, Tas AUS</t>
  </si>
  <si>
    <t>KFC BURNIE BURNIE AUS</t>
  </si>
  <si>
    <t>EMU BAY T 0448313622 BURNIE AUS</t>
  </si>
  <si>
    <t>STATION REFRESHMEN BALLARAT AUS</t>
  </si>
  <si>
    <t>Airport Shuttle Bus BAKERY HILL AUS</t>
  </si>
  <si>
    <t>Marleen Gort</t>
  </si>
  <si>
    <t>Yoast B.V. merchantRef Wijchen NLD FRGN AMT: 267.30  U. S. DOLLAR</t>
  </si>
  <si>
    <t>Adobe Sydney AUS</t>
  </si>
  <si>
    <t>CODETWO JELENIA GOR POL FRGN AMT: 64.58  U. S. DOLLAR</t>
  </si>
  <si>
    <t>Nigel Grigg</t>
  </si>
  <si>
    <t>WHSMITH SYD PIERC SAT MASCOT AUS</t>
  </si>
  <si>
    <t>airport - Drinks</t>
  </si>
  <si>
    <t>1041</t>
  </si>
  <si>
    <t>TRANSPORTFORNSW TAP SYDNEY AUS</t>
  </si>
  <si>
    <t>Travel NC</t>
  </si>
  <si>
    <t>ZLR*S1TOBYA Mascot AUS</t>
  </si>
  <si>
    <t>UFS HEALTHCARE LTD BALLARAT AUS</t>
  </si>
  <si>
    <t>Persoanl Cost</t>
  </si>
  <si>
    <t>APCO ALFREDTON ALFREDTON AUS</t>
  </si>
  <si>
    <t xml:space="preserve">Travel NC - Fuel - </t>
  </si>
  <si>
    <t>THINK ASIA T4 MELBOURNE A AUS</t>
  </si>
  <si>
    <t>Airport Dinner</t>
  </si>
  <si>
    <t>MELBOURNE AIRPORT TULLAMARINE AUS</t>
  </si>
  <si>
    <t>VIRGIN AU7954422641797 BRISBANE AUS</t>
  </si>
  <si>
    <t>Flight Kal- Diggers</t>
  </si>
  <si>
    <t>QANTAS0812374500543 NSW AUS</t>
  </si>
  <si>
    <t>Flight perth - Diggers</t>
  </si>
  <si>
    <t>MondoMenu Long Neck Do MELBOURNE AUS</t>
  </si>
  <si>
    <t>Food Airport</t>
  </si>
  <si>
    <t>H.I. West Perth OPI West Perth AUS</t>
  </si>
  <si>
    <t>Accom - Diggers NG</t>
  </si>
  <si>
    <t>BP KAMBALDA 6233 KAMBALDA EA AUS</t>
  </si>
  <si>
    <t>TheMelbourneHotel-F&amp;B Perth AUS</t>
  </si>
  <si>
    <t>Diggeers</t>
  </si>
  <si>
    <t>Live Payments Barangaroo AUS</t>
  </si>
  <si>
    <t>TWIN CITY 9021 2177 KALGOORLIE AUS</t>
  </si>
  <si>
    <t>STAR AND GARTER HOTE KALGOORLIE AUS</t>
  </si>
  <si>
    <t>Diggers</t>
  </si>
  <si>
    <t>GM TAXIPAY MASCOT AUS</t>
  </si>
  <si>
    <t xml:space="preserve">Diggers </t>
  </si>
  <si>
    <t>Holiday Inn Perth CBD Perth AUS</t>
  </si>
  <si>
    <t>Accom - perth Diggers NG/BW</t>
  </si>
  <si>
    <t>Subway Merredin Merredin AUS</t>
  </si>
  <si>
    <t>Dinner Perth - Diggers Trip NG/BW/TB</t>
  </si>
  <si>
    <t>NovotelPERMurraySt SPI Perth AUS</t>
  </si>
  <si>
    <t>Kalgoorlie Pharmacy Kalgoorlie AUS</t>
  </si>
  <si>
    <t>ALH VENUES      8552 DUNCRAIG AUS</t>
  </si>
  <si>
    <t>Metallurgist Day - Perth</t>
  </si>
  <si>
    <t>ALH VENUES      8163 NORTH PERTH AUS</t>
  </si>
  <si>
    <t>PERTH SOCCER CLUB (IN WEST PERTH AUS</t>
  </si>
  <si>
    <t>Lyco function</t>
  </si>
  <si>
    <t>JAZZLAB BRUNSWICK AUS</t>
  </si>
  <si>
    <t>WHSMITH MELBOURNE TERM MELBOURNE AUS</t>
  </si>
  <si>
    <t xml:space="preserve">airport </t>
  </si>
  <si>
    <t>SPOTTO WA DARLINGHURS AUS</t>
  </si>
  <si>
    <t>UBER   *TRIP Sydney AUS</t>
  </si>
  <si>
    <t>travel NC</t>
  </si>
  <si>
    <t>Trip to airport</t>
  </si>
  <si>
    <t>IPY*Jetstar Ent Mascot AUS</t>
  </si>
  <si>
    <t>Food on plane</t>
  </si>
  <si>
    <t>The Victoria Hotel ICP Melbourne AUS</t>
  </si>
  <si>
    <t xml:space="preserve">Cutting edge </t>
  </si>
  <si>
    <t>BALLARAT TAXI 131008 BALLARAT NO AUS</t>
  </si>
  <si>
    <t>Shayne Jenkins</t>
  </si>
  <si>
    <t>CASH ADVANCE FEE</t>
  </si>
  <si>
    <t>Bank charge</t>
  </si>
  <si>
    <t>ATM WDRL FEE BANK OF BENDIGO Alfredton Lu AUS</t>
  </si>
  <si>
    <t>CASH ADVANCE BANK OF BENDIGO Alfredton Lu AUS</t>
  </si>
  <si>
    <t>S14734</t>
  </si>
  <si>
    <t>Fuel</t>
  </si>
  <si>
    <t>RSEA PTY. LTD. BALLARAT CE AUS</t>
  </si>
  <si>
    <t>Hi-vis work clothing</t>
  </si>
  <si>
    <t>UNIF</t>
  </si>
  <si>
    <t>N. KIMPTON PTY. LTD. Ballarat AUS</t>
  </si>
  <si>
    <t>Travel doctor</t>
  </si>
  <si>
    <t>Airport shuttle</t>
  </si>
  <si>
    <t>TRAV</t>
  </si>
  <si>
    <t>Tools for service visits</t>
  </si>
  <si>
    <t>TOOL</t>
  </si>
  <si>
    <t>APCO SKIPTON ST BALL BALLARAT AUS</t>
  </si>
  <si>
    <t>Country travel adaptor</t>
  </si>
  <si>
    <t>Cleaning supplies for B2</t>
  </si>
  <si>
    <t>Ballarat Medical Cent Ballarat AUS</t>
  </si>
  <si>
    <t>Austell Lanyon</t>
  </si>
  <si>
    <t>CALTEX CLUDEN CLUDEN AUS</t>
  </si>
  <si>
    <t>HANNAS - MELB AIRPORT FITZROY NOR AUS</t>
  </si>
  <si>
    <t>WOOLWORTHS      2682 CHARTERS TW AUS</t>
  </si>
  <si>
    <t>SOVEREIGN TAVERN CHARTERS TO AUS</t>
  </si>
  <si>
    <t>C-TOWERS PTY LTD CHARTERS TO AUS</t>
  </si>
  <si>
    <t>Star Charters IGA Charters To AUS</t>
  </si>
  <si>
    <t>RED ROOSTER CHARTER TO CHARTERS TO AUS</t>
  </si>
  <si>
    <t>MCDONALDS FAIRFIELD IDALIA AUS</t>
  </si>
  <si>
    <t>DELAWARE NORTH RETAQPS MELBOURNE A AUS</t>
  </si>
  <si>
    <t>StarLiquor Town Plaz Charters To AUS</t>
  </si>
  <si>
    <t>Elizabeth Lewis-Gray</t>
  </si>
  <si>
    <t>FLOWERSGILB 0364262877 AUS</t>
  </si>
  <si>
    <t>Flowers for M Gort</t>
  </si>
  <si>
    <t>AVIS AUSTRALIA MASCOT AUS</t>
  </si>
  <si>
    <t>Personal Use</t>
  </si>
  <si>
    <t>pers</t>
  </si>
  <si>
    <t>Sandy Gray</t>
  </si>
  <si>
    <t>BUDGET RENT A CAR MASCOT AUS</t>
  </si>
  <si>
    <t>QT PERTH OPI Perth AUS</t>
  </si>
  <si>
    <t>7 ELEVEN 3045 ASCOT AUS</t>
  </si>
  <si>
    <t>QANTAS VALET Fitzroy AUS</t>
  </si>
  <si>
    <t>QANTAS0812374309572 NSW AUS</t>
  </si>
  <si>
    <t>MARY STREET BAKERY ALL Perth AUS</t>
  </si>
  <si>
    <t>Hotel at Booking.com Sydney AUS</t>
  </si>
  <si>
    <t>QANTAS081HQA3H4VM6A MASCOT AUS</t>
  </si>
  <si>
    <t>QANTAS0812373860663 NSW AUS</t>
  </si>
  <si>
    <t>BUDGET RENT A CAR HOBART AUS</t>
  </si>
  <si>
    <t>QANTAS VALET PARKING M MELBOURNE AUS</t>
  </si>
  <si>
    <t>BEACHFRONT VOYAGER M BURNIE AUS</t>
  </si>
  <si>
    <t>DSwiss AG Z rich CHE FRGN AMT: 59.40  U. S. DOLLAR</t>
  </si>
  <si>
    <t>SQ *LE PECHE GOURMAND Creswick AUS</t>
  </si>
  <si>
    <t>WEBJET MELBOURNE AUS</t>
  </si>
  <si>
    <t>Wayne Lodge</t>
  </si>
  <si>
    <t>CBSA-ASFC OTTAWA CAN FRGN AMT: 3000.00  CANADIAN DOLLAR</t>
  </si>
  <si>
    <t>Shane McLaughlin</t>
  </si>
  <si>
    <t>METRO PETROLEUM GOLDEN Golden Poin AUS</t>
  </si>
  <si>
    <t>COLES 7798 BALLARAT AUS</t>
  </si>
  <si>
    <t>BUNNINGS 730000 BALLARAT AUS</t>
  </si>
  <si>
    <t>FIFTEEN NEEDLES GROUP WENDOUREE AUS</t>
  </si>
  <si>
    <t>APCO MAIN RD BALLARA BALLARAT AUS</t>
  </si>
  <si>
    <t>Mx Ntombela</t>
  </si>
  <si>
    <t>AusIMM 61396586100 AUS</t>
  </si>
  <si>
    <t>Melinda Pendergast</t>
  </si>
  <si>
    <t>WWW.ALIEXPRESS.COM LONDON GBR</t>
  </si>
  <si>
    <t>aliexpress North Sydne AUS</t>
  </si>
  <si>
    <t>Clint Torney</t>
  </si>
  <si>
    <t>SPRINGFIELDS TARCOMBE BALLARAT AUS</t>
  </si>
  <si>
    <t>Barry Tuncks</t>
  </si>
  <si>
    <t>PAYPAL *CLOUDFLARE 4029357733 USA</t>
  </si>
  <si>
    <t>Website Domain and security</t>
  </si>
  <si>
    <t>ITSW</t>
  </si>
  <si>
    <t>INTRUDER.IO PRO LONDON GBR FRGN AMT: 263.67  U. S. DOLLAR</t>
  </si>
  <si>
    <t>Cyber Security scanner</t>
  </si>
  <si>
    <t>ONESIMCARD.COM BELMONT USA FRGN AMT: 103.90  U. S. DOLLAR</t>
  </si>
  <si>
    <t>Machine Data Ops</t>
  </si>
  <si>
    <t>CS007-D</t>
  </si>
  <si>
    <t>DATACHANT HIGHLAND PA USA FRGN AMT: 100.00  U. S. DOLLAR</t>
  </si>
  <si>
    <t>Projects Tool</t>
  </si>
  <si>
    <t>AMAZON AU MARKETPLACE SYDNEY AUS</t>
  </si>
  <si>
    <t>Laptop Docks</t>
  </si>
  <si>
    <t>ONESIMCARD.COM BELMONT USA FRGN AMT: 207.80  U. S. DOLLAR</t>
  </si>
  <si>
    <t>TAILSCALE US INC. SAN FRANCIS USA FRGN AMT: 12.00  U. S. DOLLAR</t>
  </si>
  <si>
    <t>VPN Solution subscription.</t>
  </si>
  <si>
    <t>SMTP2GO, I* SMTP2GO EM KELLER USA FRGN AMT: 15.00  U. S. DOLLAR</t>
  </si>
  <si>
    <t>Email Relay service.</t>
  </si>
  <si>
    <t>MSFT * E0400WROZO SYDNEY AUS</t>
  </si>
  <si>
    <t>Gaia M365 subscriptions</t>
  </si>
  <si>
    <t>MSFT+*+E0400WRQWX Sydney AUS</t>
  </si>
  <si>
    <t>MSFT * E0400WRTG0 Sydney AUS</t>
  </si>
  <si>
    <t>MSFT * E0400WRQWY Sydney AUS</t>
  </si>
  <si>
    <t>MSFT * E0400WRQWW Sydney AUS</t>
  </si>
  <si>
    <t>PAYPAL *ADOBESYSTEM 4029357733 AUS</t>
  </si>
  <si>
    <t>Adobe Acrobat PDF Editor x2</t>
  </si>
  <si>
    <t>1PASSWORD TORONTO CAN FRGN AMT: 21.95  U. S. DOLLAR</t>
  </si>
  <si>
    <t>Password manager subscription</t>
  </si>
  <si>
    <t>4CABLING* 4CABLING HOMEBUSH WE AUS</t>
  </si>
  <si>
    <t>Fiber cables and optics - Site networking</t>
  </si>
  <si>
    <t>Charge back to BT accidental purchase.</t>
  </si>
  <si>
    <t>Kate Rouhan</t>
  </si>
  <si>
    <t>HTTPS://SCRIBE.HOW/B SAN FRANCIS USA FRGN AMT: 251.54  U. S. DOLLAR</t>
  </si>
  <si>
    <t>Prepaid sofware  - Scorm Files</t>
  </si>
  <si>
    <t>POST LUCAS LPO LUCAS AUS</t>
  </si>
  <si>
    <t>Postage to Perth Office</t>
  </si>
  <si>
    <t>POST</t>
  </si>
  <si>
    <t>BALLARATS SANCTUARY DA BALLARAT AUS</t>
  </si>
  <si>
    <t>Gift for O'Halloran Family Baby</t>
  </si>
  <si>
    <t>Golden Nugget Bakery Ballarat Ce AUS</t>
  </si>
  <si>
    <t>Catering for Pronto team - Onsite</t>
  </si>
  <si>
    <t>SMP*Major Roasts Ballarat No AUS</t>
  </si>
  <si>
    <t>Wednesday lunch - Onsite</t>
  </si>
  <si>
    <t>Food for Wednesday lunch</t>
  </si>
  <si>
    <t>Bakers Delight Ballarat AUS</t>
  </si>
  <si>
    <t>Pronto Team lunch - Onsite</t>
  </si>
  <si>
    <t>EG GROUP        3873 LUCAS AUS</t>
  </si>
  <si>
    <t>Purchase of Milk</t>
  </si>
  <si>
    <t>BABY BUNTING WENDEOUREE AUS</t>
  </si>
  <si>
    <t>Gift for O'Halloran Baby</t>
  </si>
  <si>
    <t>Nextra Wendouree Wendouree AUS</t>
  </si>
  <si>
    <t>Purchase of cards to staff</t>
  </si>
  <si>
    <t>Wednesday Lunch - Onsite</t>
  </si>
  <si>
    <t>Woolworths Online BELLA VISTA AUS</t>
  </si>
  <si>
    <t>ALDI STORES WENDOUREE AUS</t>
  </si>
  <si>
    <t>DAN MURPHY'S    3905 DELACOMBE AUS</t>
  </si>
  <si>
    <t>Drinks for Friday night drinks - Onsite</t>
  </si>
  <si>
    <t>Michael Trenorden</t>
  </si>
  <si>
    <t>CONSUMER AFFAIRS VIC MELBOURNE AUS</t>
  </si>
  <si>
    <t>PERM</t>
  </si>
  <si>
    <t>FUTURE ENERGY SKILLS L CLAYTON AUS</t>
  </si>
  <si>
    <t>Leon VanKollenburg</t>
  </si>
  <si>
    <t>GB FASTENERS ALFREDTON AUS</t>
  </si>
  <si>
    <t>touch up paint</t>
  </si>
  <si>
    <t>CONS</t>
  </si>
  <si>
    <t>dyna bolts for workshop</t>
  </si>
  <si>
    <t>tools for the workshop</t>
  </si>
  <si>
    <t>POST BALLARAT WEST LPO BALLARAT AUS</t>
  </si>
  <si>
    <t>work safe licence fee</t>
  </si>
  <si>
    <t>CRED VOUCHER SPIRIT OF TASMANIA DEVONPORT AUS</t>
  </si>
  <si>
    <t xml:space="preserve">credit for Jonty no longer </t>
  </si>
  <si>
    <t>s12392-b</t>
  </si>
  <si>
    <t>TRVP</t>
  </si>
  <si>
    <t>SPIRIT OF TASMANIA DEVONPORT AUS</t>
  </si>
  <si>
    <t>Travel to Rosebery</t>
  </si>
  <si>
    <t>Ben Wraith</t>
  </si>
  <si>
    <t>Registration for industry event</t>
  </si>
  <si>
    <t>CONF</t>
  </si>
  <si>
    <t>Travel home from industry event</t>
  </si>
  <si>
    <t>G077</t>
  </si>
  <si>
    <t>SALP</t>
  </si>
  <si>
    <t>didi mobility sydney</t>
  </si>
  <si>
    <t>Travel to airport for Diggers and Dealers Conference</t>
  </si>
  <si>
    <t>Breakfast on Diggers and Dealers trip</t>
  </si>
  <si>
    <t>ls the wolf espresso perth</t>
  </si>
  <si>
    <t>Coffee's on the way to Kalgoorlie for Diggers and Dealers</t>
  </si>
  <si>
    <t>star &amp; garter hotel kalgoorlie</t>
  </si>
  <si>
    <t>exchange hotel kalgoorlie</t>
  </si>
  <si>
    <t>palace hotel kalgoorlie</t>
  </si>
  <si>
    <t>acropolis now kalgoorlie</t>
  </si>
  <si>
    <t>bp golden gate kalgoorlie</t>
  </si>
  <si>
    <t>delaware north redcliffe</t>
  </si>
  <si>
    <t>ausimm carlton</t>
  </si>
  <si>
    <t>best choice ballarat</t>
  </si>
  <si>
    <t>Sales Conference Accomodation</t>
  </si>
  <si>
    <t>G068</t>
  </si>
  <si>
    <t>sq 3350 coffee bar ballarat</t>
  </si>
  <si>
    <t>Breakfast Sales Conference</t>
  </si>
  <si>
    <t>Nick Zhang</t>
  </si>
  <si>
    <t>SQ *LILY DANG Ballarat Ce AUS</t>
  </si>
  <si>
    <t>Watermark Mascot AUS</t>
  </si>
  <si>
    <t>SYD APRT EPARK ONL28 SYDNEY INTE AUS</t>
  </si>
  <si>
    <t>Bank Account</t>
  </si>
  <si>
    <t>Date</t>
  </si>
  <si>
    <t>Narrative</t>
  </si>
  <si>
    <t>Debit Amount</t>
  </si>
  <si>
    <t>Credit Amount</t>
  </si>
  <si>
    <t>Card Number</t>
  </si>
  <si>
    <t>Name</t>
  </si>
  <si>
    <t>Baker</t>
  </si>
  <si>
    <t>Barclay</t>
  </si>
  <si>
    <t>Bell</t>
  </si>
  <si>
    <t>Brown</t>
  </si>
  <si>
    <t>Conroy</t>
  </si>
  <si>
    <t>Delemontex</t>
  </si>
  <si>
    <t>Donadio</t>
  </si>
  <si>
    <t>DUva</t>
  </si>
  <si>
    <t>Edmondston</t>
  </si>
  <si>
    <t>Gort</t>
  </si>
  <si>
    <t>Grigg</t>
  </si>
  <si>
    <t>Hughes</t>
  </si>
  <si>
    <t>Jenkins</t>
  </si>
  <si>
    <t>Lanyon</t>
  </si>
  <si>
    <t>Lewis Gray E</t>
  </si>
  <si>
    <t>Lewis Gray S</t>
  </si>
  <si>
    <t>Lodge</t>
  </si>
  <si>
    <t>McLaughlin</t>
  </si>
  <si>
    <t>Ntombela</t>
  </si>
  <si>
    <t>O'Halloran</t>
  </si>
  <si>
    <t>Predergast</t>
  </si>
  <si>
    <t>Rouhan</t>
  </si>
  <si>
    <t>Torney</t>
  </si>
  <si>
    <t>Trenorden</t>
  </si>
  <si>
    <t>Tuncks</t>
  </si>
  <si>
    <t>VanKollenburg</t>
  </si>
  <si>
    <t>Zhang</t>
  </si>
  <si>
    <t>Wraith</t>
  </si>
  <si>
    <t xml:space="preserve">Format for copy &amp; paste of invoice </t>
  </si>
  <si>
    <t>CBS</t>
  </si>
  <si>
    <t>1051.CONS</t>
  </si>
  <si>
    <t>credit card import test</t>
  </si>
  <si>
    <t>1084.PHON</t>
  </si>
  <si>
    <t>To find your job number &amp; cost code category</t>
  </si>
  <si>
    <t>Log in to Pronto</t>
  </si>
  <si>
    <t>Select Reporting Portal</t>
  </si>
  <si>
    <t>Select Gekko Reporting</t>
  </si>
  <si>
    <t>Select GEK_Credit Card Code Lookup</t>
  </si>
  <si>
    <t>Find the relevant project code</t>
  </si>
  <si>
    <t>Select OK at the bottom of the screen</t>
  </si>
  <si>
    <t>Enter the Project number &amp; the Cost Category into the relevant cells.</t>
  </si>
  <si>
    <t>If you cannot find the information you are after then leave it blank &amp; let me know.</t>
  </si>
  <si>
    <t>ENFE</t>
  </si>
  <si>
    <t>Catering Pronto lunch</t>
  </si>
  <si>
    <t>G1145-Peninsula Downs Trip</t>
  </si>
  <si>
    <t>MISC</t>
  </si>
  <si>
    <t>Petrol CN pump</t>
  </si>
  <si>
    <t>Wed lunch drinks</t>
  </si>
  <si>
    <t>Petrol Personal Car use</t>
  </si>
  <si>
    <t>Safety gloves, cable ties</t>
  </si>
  <si>
    <t>Bottle Roll containers</t>
  </si>
  <si>
    <t>Hip Pocket Safety Gear</t>
  </si>
  <si>
    <t>Safety Gloves</t>
  </si>
  <si>
    <t>Dinner</t>
  </si>
  <si>
    <t>Food</t>
  </si>
  <si>
    <t>Airport Parking</t>
  </si>
  <si>
    <t>Bus to Ballarat</t>
  </si>
  <si>
    <t>X195</t>
  </si>
  <si>
    <t>ASPU</t>
  </si>
  <si>
    <t>X129-04</t>
  </si>
  <si>
    <t>tools for worshop</t>
  </si>
  <si>
    <t>Change to filippino currency</t>
  </si>
  <si>
    <t>REPM</t>
  </si>
  <si>
    <t>Stationary</t>
  </si>
  <si>
    <t>Pantry supplies</t>
  </si>
  <si>
    <t>Pantry Supplies</t>
  </si>
  <si>
    <t>Toll</t>
  </si>
  <si>
    <t>Stocktake catering</t>
  </si>
  <si>
    <t>Import bond for Canada under the CARM regulations</t>
  </si>
  <si>
    <t>Ballarat Sales Conference - Uber</t>
  </si>
  <si>
    <t>Ballarat Sales Conference - Food / Amenities</t>
  </si>
  <si>
    <t>Diggers and Dealers - Petrol for Hire Car</t>
  </si>
  <si>
    <t>Diggers and Dealers - Uber home from dropping hire car off</t>
  </si>
  <si>
    <t>Food for Lunch and Learn with GR Engineering</t>
  </si>
  <si>
    <t>Wednesday Lunch</t>
  </si>
  <si>
    <t>Diggers and Dealers - Food / Amenities</t>
  </si>
  <si>
    <t xml:space="preserve">Diggers and Dealers - Uber  </t>
  </si>
  <si>
    <t>Diggers and Dealers - Uber</t>
  </si>
  <si>
    <t>Diggers and Dealers - Modular Plant Brochures</t>
  </si>
  <si>
    <t>Uber to meeting with Emily at Woodside</t>
  </si>
  <si>
    <t>Lunch with Emily at Woodside</t>
  </si>
  <si>
    <t xml:space="preserve">Uber to meeting  </t>
  </si>
  <si>
    <t>Weekly work lunch</t>
  </si>
  <si>
    <t>Coffee with Darren Athies - Ramelius</t>
  </si>
  <si>
    <t>Travel - Networking Event: Jeans for Genes fundraiser</t>
  </si>
  <si>
    <t>Gruyere - Travel to airport</t>
  </si>
  <si>
    <t>Uber to meeting with Darren Athies - Ramelius</t>
  </si>
  <si>
    <t>Gruyere - Travel from airport</t>
  </si>
  <si>
    <t xml:space="preserve">Coffee  </t>
  </si>
  <si>
    <t>Gruyere - Site Networking Drinks</t>
  </si>
  <si>
    <t>Diggers and Dealers - Flyers for Stachels</t>
  </si>
  <si>
    <t>Coffee / Sugar</t>
  </si>
  <si>
    <t>Milk</t>
  </si>
  <si>
    <t>1 x HCN Detctor Service and 1 x new HCN Detector</t>
  </si>
  <si>
    <t>Catch up with Steffen, re testwork</t>
  </si>
  <si>
    <t>Diggers - Meds</t>
  </si>
  <si>
    <t>Diggers and Dealers -  Petrol</t>
  </si>
  <si>
    <t>Diggers and Dealers - Hand Sanitiser</t>
  </si>
  <si>
    <t>ENFN</t>
  </si>
  <si>
    <t>SPPE</t>
  </si>
  <si>
    <t>Delivery team tools - fire blanket</t>
  </si>
  <si>
    <t>MVPT</t>
  </si>
  <si>
    <t>STAT</t>
  </si>
  <si>
    <t>1073</t>
  </si>
  <si>
    <t>1077</t>
  </si>
  <si>
    <t>S17144</t>
  </si>
  <si>
    <t>1.6.01</t>
  </si>
  <si>
    <t>1.6.03</t>
  </si>
  <si>
    <t>BFEE</t>
  </si>
  <si>
    <t>MVPF</t>
  </si>
  <si>
    <t>MEMB</t>
  </si>
  <si>
    <t>1060GE2</t>
  </si>
  <si>
    <t>Credit card Statement TOTAL</t>
  </si>
  <si>
    <t>Subtotal</t>
  </si>
  <si>
    <t>Variance Check</t>
  </si>
  <si>
    <t>limit 56charaters</t>
  </si>
  <si>
    <t>Lycopodium Jeans for Genes - Extra Seat Charity Dinner</t>
  </si>
  <si>
    <t>ALIEXPRESS</t>
  </si>
  <si>
    <t>aliexpress</t>
  </si>
  <si>
    <t>Description - Please limit to short 30 character limit</t>
  </si>
  <si>
    <t xml:space="preserve">replac the Orange Pi with Ethernet apt-USB type A 90° adpt </t>
  </si>
  <si>
    <t>2xHDMIDummyPlug 4K@60Hz forPMeyer for testing</t>
  </si>
  <si>
    <t>Drinks, Fruit etc</t>
  </si>
  <si>
    <t xml:space="preserve"> Drinks, Sugar, Fruit</t>
  </si>
  <si>
    <t>Bakers Delight</t>
  </si>
  <si>
    <t>Rolls for Wednesday lunch - Onsite</t>
  </si>
  <si>
    <t>Professional Engineer Reg-Vic</t>
  </si>
  <si>
    <t>REL Class 2 Assmt -  Max J</t>
  </si>
  <si>
    <t>REL Class 2 Assmt -  Harry L</t>
  </si>
  <si>
    <t>austmine</t>
  </si>
  <si>
    <t>melbourne taxi</t>
  </si>
  <si>
    <t>didi mobility</t>
  </si>
  <si>
    <t>perth soccer</t>
  </si>
  <si>
    <t>murray mews</t>
  </si>
  <si>
    <t>alh venues</t>
  </si>
  <si>
    <t>star &amp; garter hotel</t>
  </si>
  <si>
    <t>exchange hotel</t>
  </si>
  <si>
    <t>palace hotel</t>
  </si>
  <si>
    <t>Dinner: AE, NK, NZ, TB, BW, TH, SM</t>
  </si>
  <si>
    <t xml:space="preserve">Website SEO plugin yearly fee </t>
  </si>
  <si>
    <t xml:space="preserve">Adobe Creative Cloud monthly fee </t>
  </si>
  <si>
    <t xml:space="preserve">Signature software extra licenses </t>
  </si>
  <si>
    <t>MYKI</t>
  </si>
  <si>
    <t>AusIMM</t>
  </si>
  <si>
    <t>12mth Subs 1041/MEMB</t>
  </si>
  <si>
    <t>Train Fare to/from MelbMining Club Lunch</t>
  </si>
  <si>
    <t>11053SVC4300</t>
  </si>
  <si>
    <t>Entertain Lycopodium Jeans for Genes Event</t>
  </si>
  <si>
    <t>Travel to event with WA Metallurgists</t>
  </si>
  <si>
    <t>event drinks with WA Metallurgists</t>
  </si>
  <si>
    <t>north star</t>
  </si>
  <si>
    <t>D&amp;D meals and drinks</t>
  </si>
  <si>
    <t>Travel home from airport after D&amp;D Conference</t>
  </si>
  <si>
    <t>Dinner whilst traveling home from D&amp;D</t>
  </si>
  <si>
    <t>Student Meets IndustryNightReg</t>
  </si>
  <si>
    <t>Catering Sales Conference</t>
  </si>
  <si>
    <t>Post bank guarantees</t>
  </si>
  <si>
    <t>Train - Melbourne Mining Club</t>
  </si>
  <si>
    <t>Chartered Accountants Aust &amp; NZ Annual Membership</t>
  </si>
  <si>
    <t>Food for Pronto Team</t>
  </si>
  <si>
    <t>Coffee Beans</t>
  </si>
  <si>
    <t>Food while in Burnie - Elphinstone Group Function</t>
  </si>
  <si>
    <t>Taxi from airport while in Burnie - Elphinstone Group Function</t>
  </si>
  <si>
    <t>Shuttle bus - Elphinstone Group Function</t>
  </si>
  <si>
    <t>Wine for table - Melbourne Mining Club AE, MX, SM</t>
  </si>
  <si>
    <t>Wine for table - Melbourne Mining Club 7 - Non employees</t>
  </si>
  <si>
    <t>Taxi to station for Burnie trip-Elphinstone Group Function</t>
  </si>
  <si>
    <t>Blackjack Trip</t>
  </si>
  <si>
    <t>S16858</t>
  </si>
  <si>
    <t>TRAI</t>
  </si>
  <si>
    <t xml:space="preserve">SPRINGFIELDS </t>
  </si>
  <si>
    <t>Accommodation for Weld Aust</t>
  </si>
  <si>
    <t>cons</t>
  </si>
  <si>
    <t>MealAE,TB,NG,WL,SG,ELG,BW,NZ,SM, AL</t>
  </si>
  <si>
    <t>CITYOva</t>
  </si>
  <si>
    <t>CITYOVA</t>
  </si>
  <si>
    <t>Accom Burnie - Elphinstone Group Function</t>
  </si>
  <si>
    <t>Meals Burnie - Elphinstone Group Function</t>
  </si>
  <si>
    <t>MealsBurnie -AE &amp;V De Santis</t>
  </si>
  <si>
    <t xml:space="preserve">Peninsula Downs Trip / WA Gekko Sales Trip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</si>
</sst>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C09]d\ mmmm\ yyyy;@"/>
    <numFmt numFmtId="165" formatCode="0.0"/>
  </numFmts>
  <fonts count="55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9"/>
      <color indexed="81"/>
      <name val="Tahoma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20"/>
      <color rgb="FFFF0000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000000"/>
      <name val="Aptos Narrow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8"/>
      <color rgb="FFFF0000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sz val="10"/>
      <name val="Arial"/>
      <family val="2"/>
    </font>
    <font>
      <sz val="11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FFCC"/>
        <bgColor rgb="FFFFFFCC"/>
      </patternFill>
    </fill>
    <fill>
      <patternFill patternType="solid">
        <fgColor theme="1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FFFCC"/>
      </patternFill>
    </fill>
    <fill>
      <patternFill patternType="solid">
        <fgColor theme="6" tint="0.79998168889431442"/>
        <bgColor rgb="FFFFFFCC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000000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indexed="64"/>
      </left>
      <right style="medium">
        <color theme="0" tint="-0.34998626667073579"/>
      </right>
      <top style="medium">
        <color indexed="64"/>
      </top>
      <bottom style="medium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indexed="64"/>
      </top>
      <bottom style="medium">
        <color indexed="64"/>
      </bottom>
      <diagonal/>
    </border>
    <border>
      <left style="medium">
        <color theme="0" tint="-0.34998626667073579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BFBFBF"/>
      </right>
      <top style="medium">
        <color rgb="FF000000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000000"/>
      </top>
      <bottom style="medium">
        <color rgb="FFBFBFBF"/>
      </bottom>
      <diagonal/>
    </border>
    <border>
      <left/>
      <right style="medium">
        <color rgb="FFBFBFBF"/>
      </right>
      <top/>
      <bottom/>
      <diagonal/>
    </border>
    <border>
      <left/>
      <right style="medium">
        <color rgb="FFBFBFBF"/>
      </right>
      <top/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indexed="64"/>
      </bottom>
      <diagonal/>
    </border>
  </borders>
  <cellStyleXfs count="1023">
    <xf numFmtId="164" fontId="0" fillId="0" borderId="0"/>
    <xf numFmtId="164" fontId="10" fillId="0" borderId="0" applyNumberFormat="0" applyFill="0" applyBorder="0" applyAlignment="0" applyProtection="0"/>
    <xf numFmtId="164" fontId="11" fillId="0" borderId="1" applyNumberFormat="0" applyFill="0" applyAlignment="0" applyProtection="0"/>
    <xf numFmtId="164" fontId="12" fillId="0" borderId="2" applyNumberFormat="0" applyFill="0" applyAlignment="0" applyProtection="0"/>
    <xf numFmtId="164" fontId="13" fillId="0" borderId="3" applyNumberFormat="0" applyFill="0" applyAlignment="0" applyProtection="0"/>
    <xf numFmtId="164" fontId="13" fillId="0" borderId="0" applyNumberFormat="0" applyFill="0" applyBorder="0" applyAlignment="0" applyProtection="0"/>
    <xf numFmtId="164" fontId="14" fillId="2" borderId="0" applyNumberFormat="0" applyBorder="0" applyAlignment="0" applyProtection="0"/>
    <xf numFmtId="164" fontId="15" fillId="3" borderId="0" applyNumberFormat="0" applyBorder="0" applyAlignment="0" applyProtection="0"/>
    <xf numFmtId="164" fontId="16" fillId="4" borderId="0" applyNumberFormat="0" applyBorder="0" applyAlignment="0" applyProtection="0"/>
    <xf numFmtId="164" fontId="17" fillId="5" borderId="4" applyNumberFormat="0" applyAlignment="0" applyProtection="0"/>
    <xf numFmtId="164" fontId="18" fillId="6" borderId="5" applyNumberFormat="0" applyAlignment="0" applyProtection="0"/>
    <xf numFmtId="164" fontId="19" fillId="6" borderId="4" applyNumberFormat="0" applyAlignment="0" applyProtection="0"/>
    <xf numFmtId="164" fontId="20" fillId="0" borderId="6" applyNumberFormat="0" applyFill="0" applyAlignment="0" applyProtection="0"/>
    <xf numFmtId="164" fontId="21" fillId="7" borderId="7" applyNumberFormat="0" applyAlignment="0" applyProtection="0"/>
    <xf numFmtId="164" fontId="22" fillId="0" borderId="0" applyNumberFormat="0" applyFill="0" applyBorder="0" applyAlignment="0" applyProtection="0"/>
    <xf numFmtId="164" fontId="9" fillId="8" borderId="8" applyNumberFormat="0" applyFont="0" applyAlignment="0" applyProtection="0"/>
    <xf numFmtId="164" fontId="23" fillId="0" borderId="0" applyNumberFormat="0" applyFill="0" applyBorder="0" applyAlignment="0" applyProtection="0"/>
    <xf numFmtId="164" fontId="24" fillId="0" borderId="9" applyNumberFormat="0" applyFill="0" applyAlignment="0" applyProtection="0"/>
    <xf numFmtId="164" fontId="25" fillId="9" borderId="0" applyNumberFormat="0" applyBorder="0" applyAlignment="0" applyProtection="0"/>
    <xf numFmtId="164" fontId="9" fillId="10" borderId="0" applyNumberFormat="0" applyBorder="0" applyAlignment="0" applyProtection="0"/>
    <xf numFmtId="164" fontId="9" fillId="11" borderId="0" applyNumberFormat="0" applyBorder="0" applyAlignment="0" applyProtection="0"/>
    <xf numFmtId="164" fontId="25" fillId="12" borderId="0" applyNumberFormat="0" applyBorder="0" applyAlignment="0" applyProtection="0"/>
    <xf numFmtId="164" fontId="25" fillId="13" borderId="0" applyNumberFormat="0" applyBorder="0" applyAlignment="0" applyProtection="0"/>
    <xf numFmtId="164" fontId="9" fillId="14" borderId="0" applyNumberFormat="0" applyBorder="0" applyAlignment="0" applyProtection="0"/>
    <xf numFmtId="164" fontId="9" fillId="15" borderId="0" applyNumberFormat="0" applyBorder="0" applyAlignment="0" applyProtection="0"/>
    <xf numFmtId="164" fontId="25" fillId="16" borderId="0" applyNumberFormat="0" applyBorder="0" applyAlignment="0" applyProtection="0"/>
    <xf numFmtId="164" fontId="25" fillId="17" borderId="0" applyNumberFormat="0" applyBorder="0" applyAlignment="0" applyProtection="0"/>
    <xf numFmtId="164" fontId="9" fillId="18" borderId="0" applyNumberFormat="0" applyBorder="0" applyAlignment="0" applyProtection="0"/>
    <xf numFmtId="164" fontId="9" fillId="19" borderId="0" applyNumberFormat="0" applyBorder="0" applyAlignment="0" applyProtection="0"/>
    <xf numFmtId="164" fontId="25" fillId="20" borderId="0" applyNumberFormat="0" applyBorder="0" applyAlignment="0" applyProtection="0"/>
    <xf numFmtId="164" fontId="25" fillId="21" borderId="0" applyNumberFormat="0" applyBorder="0" applyAlignment="0" applyProtection="0"/>
    <xf numFmtId="164" fontId="9" fillId="22" borderId="0" applyNumberFormat="0" applyBorder="0" applyAlignment="0" applyProtection="0"/>
    <xf numFmtId="164" fontId="9" fillId="23" borderId="0" applyNumberFormat="0" applyBorder="0" applyAlignment="0" applyProtection="0"/>
    <xf numFmtId="164" fontId="25" fillId="24" borderId="0" applyNumberFormat="0" applyBorder="0" applyAlignment="0" applyProtection="0"/>
    <xf numFmtId="164" fontId="25" fillId="25" borderId="0" applyNumberFormat="0" applyBorder="0" applyAlignment="0" applyProtection="0"/>
    <xf numFmtId="164" fontId="9" fillId="26" borderId="0" applyNumberFormat="0" applyBorder="0" applyAlignment="0" applyProtection="0"/>
    <xf numFmtId="164" fontId="9" fillId="27" borderId="0" applyNumberFormat="0" applyBorder="0" applyAlignment="0" applyProtection="0"/>
    <xf numFmtId="164" fontId="25" fillId="28" borderId="0" applyNumberFormat="0" applyBorder="0" applyAlignment="0" applyProtection="0"/>
    <xf numFmtId="164" fontId="25" fillId="29" borderId="0" applyNumberFormat="0" applyBorder="0" applyAlignment="0" applyProtection="0"/>
    <xf numFmtId="164" fontId="9" fillId="30" borderId="0" applyNumberFormat="0" applyBorder="0" applyAlignment="0" applyProtection="0"/>
    <xf numFmtId="164" fontId="9" fillId="31" borderId="0" applyNumberFormat="0" applyBorder="0" applyAlignment="0" applyProtection="0"/>
    <xf numFmtId="164" fontId="25" fillId="32" borderId="0" applyNumberFormat="0" applyBorder="0" applyAlignment="0" applyProtection="0"/>
    <xf numFmtId="43" fontId="9" fillId="0" borderId="0" applyFont="0" applyFill="0" applyBorder="0" applyAlignment="0" applyProtection="0"/>
    <xf numFmtId="0" fontId="8" fillId="0" borderId="0"/>
    <xf numFmtId="0" fontId="10" fillId="0" borderId="0" applyNumberFormat="0" applyFill="0" applyBorder="0" applyAlignment="0" applyProtection="0"/>
    <xf numFmtId="0" fontId="30" fillId="0" borderId="1" applyNumberFormat="0" applyFill="0" applyAlignment="0" applyProtection="0"/>
    <xf numFmtId="0" fontId="31" fillId="0" borderId="2" applyNumberFormat="0" applyFill="0" applyAlignment="0" applyProtection="0"/>
    <xf numFmtId="0" fontId="32" fillId="0" borderId="3" applyNumberFormat="0" applyFill="0" applyAlignment="0" applyProtection="0"/>
    <xf numFmtId="0" fontId="32" fillId="0" borderId="0" applyNumberFormat="0" applyFill="0" applyBorder="0" applyAlignment="0" applyProtection="0"/>
    <xf numFmtId="0" fontId="33" fillId="2" borderId="0" applyNumberFormat="0" applyBorder="0" applyAlignment="0" applyProtection="0"/>
    <xf numFmtId="0" fontId="34" fillId="3" borderId="0" applyNumberFormat="0" applyBorder="0" applyAlignment="0" applyProtection="0"/>
    <xf numFmtId="0" fontId="35" fillId="4" borderId="0" applyNumberFormat="0" applyBorder="0" applyAlignment="0" applyProtection="0"/>
    <xf numFmtId="0" fontId="36" fillId="5" borderId="4" applyNumberFormat="0" applyAlignment="0" applyProtection="0"/>
    <xf numFmtId="0" fontId="37" fillId="6" borderId="5" applyNumberFormat="0" applyAlignment="0" applyProtection="0"/>
    <xf numFmtId="0" fontId="38" fillId="6" borderId="4" applyNumberFormat="0" applyAlignment="0" applyProtection="0"/>
    <xf numFmtId="0" fontId="39" fillId="0" borderId="6" applyNumberFormat="0" applyFill="0" applyAlignment="0" applyProtection="0"/>
    <xf numFmtId="0" fontId="40" fillId="7" borderId="7" applyNumberFormat="0" applyAlignment="0" applyProtection="0"/>
    <xf numFmtId="0" fontId="41" fillId="0" borderId="0" applyNumberFormat="0" applyFill="0" applyBorder="0" applyAlignment="0" applyProtection="0"/>
    <xf numFmtId="0" fontId="8" fillId="8" borderId="8" applyNumberFormat="0" applyFont="0" applyAlignment="0" applyProtection="0"/>
    <xf numFmtId="0" fontId="42" fillId="0" borderId="0" applyNumberFormat="0" applyFill="0" applyBorder="0" applyAlignment="0" applyProtection="0"/>
    <xf numFmtId="0" fontId="43" fillId="0" borderId="9" applyNumberFormat="0" applyFill="0" applyAlignment="0" applyProtection="0"/>
    <xf numFmtId="0" fontId="44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44" fillId="12" borderId="0" applyNumberFormat="0" applyBorder="0" applyAlignment="0" applyProtection="0"/>
    <xf numFmtId="0" fontId="44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44" fillId="16" borderId="0" applyNumberFormat="0" applyBorder="0" applyAlignment="0" applyProtection="0"/>
    <xf numFmtId="0" fontId="44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44" fillId="20" borderId="0" applyNumberFormat="0" applyBorder="0" applyAlignment="0" applyProtection="0"/>
    <xf numFmtId="0" fontId="44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44" fillId="24" borderId="0" applyNumberFormat="0" applyBorder="0" applyAlignment="0" applyProtection="0"/>
    <xf numFmtId="0" fontId="44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44" fillId="32" borderId="0" applyNumberFormat="0" applyBorder="0" applyAlignment="0" applyProtection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6" fillId="0" borderId="0"/>
    <xf numFmtId="0" fontId="6" fillId="8" borderId="8" applyNumberFormat="0" applyFont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8" borderId="8" applyNumberFormat="0" applyFont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8" borderId="8" applyNumberFormat="0" applyFont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5" fillId="0" borderId="0"/>
    <xf numFmtId="0" fontId="5" fillId="8" borderId="8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4" fillId="0" borderId="0"/>
    <xf numFmtId="0" fontId="4" fillId="8" borderId="8" applyNumberFormat="0" applyFont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0" borderId="0"/>
    <xf numFmtId="0" fontId="4" fillId="8" borderId="8" applyNumberFormat="0" applyFont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0" borderId="0"/>
    <xf numFmtId="0" fontId="4" fillId="8" borderId="8" applyNumberFormat="0" applyFont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0" borderId="0"/>
    <xf numFmtId="0" fontId="4" fillId="8" borderId="8" applyNumberFormat="0" applyFont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0" borderId="0"/>
    <xf numFmtId="0" fontId="4" fillId="8" borderId="8" applyNumberFormat="0" applyFont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0" borderId="0"/>
    <xf numFmtId="0" fontId="4" fillId="8" borderId="8" applyNumberFormat="0" applyFont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0" borderId="0"/>
    <xf numFmtId="0" fontId="4" fillId="8" borderId="8" applyNumberFormat="0" applyFont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0" borderId="0"/>
    <xf numFmtId="0" fontId="4" fillId="8" borderId="8" applyNumberFormat="0" applyFont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0" borderId="0"/>
    <xf numFmtId="0" fontId="4" fillId="8" borderId="8" applyNumberFormat="0" applyFont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8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9" fillId="0" borderId="0"/>
    <xf numFmtId="0" fontId="45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4" applyNumberFormat="0" applyAlignment="0" applyProtection="0"/>
    <xf numFmtId="0" fontId="18" fillId="6" borderId="5" applyNumberFormat="0" applyAlignment="0" applyProtection="0"/>
    <xf numFmtId="0" fontId="19" fillId="6" borderId="4" applyNumberFormat="0" applyAlignment="0" applyProtection="0"/>
    <xf numFmtId="0" fontId="20" fillId="0" borderId="6" applyNumberFormat="0" applyFill="0" applyAlignment="0" applyProtection="0"/>
    <xf numFmtId="0" fontId="21" fillId="7" borderId="7" applyNumberFormat="0" applyAlignment="0" applyProtection="0"/>
    <xf numFmtId="0" fontId="22" fillId="0" borderId="0" applyNumberFormat="0" applyFill="0" applyBorder="0" applyAlignment="0" applyProtection="0"/>
    <xf numFmtId="0" fontId="9" fillId="8" borderId="8" applyNumberFormat="0" applyFont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5" fillId="32" borderId="0" applyNumberFormat="0" applyBorder="0" applyAlignment="0" applyProtection="0"/>
  </cellStyleXfs>
  <cellXfs count="120">
    <xf numFmtId="164" fontId="0" fillId="0" borderId="0" xfId="0"/>
    <xf numFmtId="164" fontId="0" fillId="0" borderId="0" xfId="0" applyAlignment="1">
      <alignment horizontal="left"/>
    </xf>
    <xf numFmtId="164" fontId="0" fillId="0" borderId="0" xfId="0" applyAlignment="1">
      <alignment horizontal="right"/>
    </xf>
    <xf numFmtId="164" fontId="0" fillId="0" borderId="10" xfId="0" applyBorder="1"/>
    <xf numFmtId="164" fontId="0" fillId="0" borderId="11" xfId="0" applyBorder="1"/>
    <xf numFmtId="1" fontId="24" fillId="33" borderId="11" xfId="0" applyNumberFormat="1" applyFont="1" applyFill="1" applyBorder="1" applyAlignment="1">
      <alignment horizontal="left"/>
    </xf>
    <xf numFmtId="164" fontId="24" fillId="33" borderId="11" xfId="0" applyFont="1" applyFill="1" applyBorder="1" applyAlignment="1">
      <alignment horizontal="left"/>
    </xf>
    <xf numFmtId="14" fontId="24" fillId="33" borderId="11" xfId="0" applyNumberFormat="1" applyFont="1" applyFill="1" applyBorder="1" applyAlignment="1">
      <alignment horizontal="left"/>
    </xf>
    <xf numFmtId="164" fontId="0" fillId="35" borderId="0" xfId="0" applyFill="1"/>
    <xf numFmtId="164" fontId="27" fillId="35" borderId="0" xfId="0" applyFont="1" applyFill="1"/>
    <xf numFmtId="164" fontId="27" fillId="35" borderId="0" xfId="0" applyFont="1" applyFill="1" applyAlignment="1">
      <alignment horizontal="left"/>
    </xf>
    <xf numFmtId="164" fontId="0" fillId="35" borderId="10" xfId="0" applyFill="1" applyBorder="1"/>
    <xf numFmtId="14" fontId="27" fillId="35" borderId="0" xfId="0" applyNumberFormat="1" applyFont="1" applyFill="1" applyAlignment="1">
      <alignment horizontal="left"/>
    </xf>
    <xf numFmtId="164" fontId="27" fillId="34" borderId="12" xfId="0" applyFont="1" applyFill="1" applyBorder="1"/>
    <xf numFmtId="164" fontId="27" fillId="34" borderId="13" xfId="0" applyFont="1" applyFill="1" applyBorder="1"/>
    <xf numFmtId="2" fontId="27" fillId="34" borderId="13" xfId="0" applyNumberFormat="1" applyFont="1" applyFill="1" applyBorder="1"/>
    <xf numFmtId="164" fontId="28" fillId="34" borderId="14" xfId="0" applyFont="1" applyFill="1" applyBorder="1" applyAlignment="1">
      <alignment horizontal="right"/>
    </xf>
    <xf numFmtId="164" fontId="28" fillId="34" borderId="15" xfId="0" applyFont="1" applyFill="1" applyBorder="1"/>
    <xf numFmtId="2" fontId="28" fillId="34" borderId="15" xfId="0" applyNumberFormat="1" applyFont="1" applyFill="1" applyBorder="1" applyAlignment="1">
      <alignment horizontal="right"/>
    </xf>
    <xf numFmtId="164" fontId="28" fillId="34" borderId="16" xfId="0" applyFont="1" applyFill="1" applyBorder="1"/>
    <xf numFmtId="164" fontId="29" fillId="0" borderId="0" xfId="0" applyFont="1" applyAlignment="1">
      <alignment horizontal="left"/>
    </xf>
    <xf numFmtId="43" fontId="0" fillId="0" borderId="0" xfId="42" applyFont="1"/>
    <xf numFmtId="0" fontId="0" fillId="0" borderId="0" xfId="0" applyNumberFormat="1"/>
    <xf numFmtId="0" fontId="9" fillId="0" borderId="0" xfId="981"/>
    <xf numFmtId="14" fontId="9" fillId="0" borderId="0" xfId="981" applyNumberFormat="1"/>
    <xf numFmtId="0" fontId="0" fillId="36" borderId="0" xfId="0" applyNumberFormat="1" applyFill="1"/>
    <xf numFmtId="0" fontId="1" fillId="36" borderId="0" xfId="911" applyFill="1"/>
    <xf numFmtId="14" fontId="0" fillId="0" borderId="0" xfId="0" applyNumberFormat="1"/>
    <xf numFmtId="43" fontId="9" fillId="0" borderId="0" xfId="42"/>
    <xf numFmtId="164" fontId="46" fillId="0" borderId="0" xfId="0" applyFont="1"/>
    <xf numFmtId="164" fontId="46" fillId="0" borderId="0" xfId="0" applyFont="1" applyAlignment="1">
      <alignment horizontal="left" vertical="center"/>
    </xf>
    <xf numFmtId="164" fontId="46" fillId="0" borderId="0" xfId="0" applyFont="1" applyAlignment="1">
      <alignment vertical="center"/>
    </xf>
    <xf numFmtId="164" fontId="47" fillId="37" borderId="18" xfId="0" applyFont="1" applyFill="1" applyBorder="1" applyAlignment="1">
      <alignment horizontal="left" vertical="center" wrapText="1"/>
    </xf>
    <xf numFmtId="164" fontId="47" fillId="37" borderId="17" xfId="0" applyFont="1" applyFill="1" applyBorder="1" applyAlignment="1">
      <alignment vertical="center" wrapText="1"/>
    </xf>
    <xf numFmtId="164" fontId="47" fillId="37" borderId="19" xfId="0" applyFont="1" applyFill="1" applyBorder="1" applyAlignment="1">
      <alignment vertical="center" wrapText="1"/>
    </xf>
    <xf numFmtId="164" fontId="48" fillId="38" borderId="20" xfId="0" applyFont="1" applyFill="1" applyBorder="1" applyAlignment="1">
      <alignment vertical="center" wrapText="1"/>
    </xf>
    <xf numFmtId="164" fontId="48" fillId="38" borderId="19" xfId="0" applyFont="1" applyFill="1" applyBorder="1" applyAlignment="1">
      <alignment vertical="center" wrapText="1"/>
    </xf>
    <xf numFmtId="43" fontId="48" fillId="38" borderId="20" xfId="42" applyFont="1" applyFill="1" applyBorder="1" applyAlignment="1">
      <alignment vertical="center" wrapText="1"/>
    </xf>
    <xf numFmtId="1" fontId="48" fillId="38" borderId="20" xfId="42" applyNumberFormat="1" applyFont="1" applyFill="1" applyBorder="1" applyAlignment="1">
      <alignment vertical="center" wrapText="1"/>
    </xf>
    <xf numFmtId="164" fontId="0" fillId="39" borderId="21" xfId="0" applyFill="1" applyBorder="1"/>
    <xf numFmtId="4" fontId="0" fillId="39" borderId="21" xfId="0" applyNumberFormat="1" applyFill="1" applyBorder="1"/>
    <xf numFmtId="1" fontId="0" fillId="39" borderId="21" xfId="0" applyNumberFormat="1" applyFill="1" applyBorder="1"/>
    <xf numFmtId="164" fontId="47" fillId="0" borderId="17" xfId="0" applyFont="1" applyBorder="1" applyAlignment="1">
      <alignment horizontal="center" vertical="center" wrapText="1"/>
    </xf>
    <xf numFmtId="43" fontId="47" fillId="0" borderId="17" xfId="42" applyFont="1" applyFill="1" applyBorder="1" applyAlignment="1">
      <alignment horizontal="center" vertical="center" wrapText="1"/>
    </xf>
    <xf numFmtId="164" fontId="48" fillId="40" borderId="19" xfId="0" applyFont="1" applyFill="1" applyBorder="1" applyAlignment="1">
      <alignment vertical="center" wrapText="1"/>
    </xf>
    <xf numFmtId="164" fontId="27" fillId="41" borderId="13" xfId="0" applyFont="1" applyFill="1" applyBorder="1"/>
    <xf numFmtId="2" fontId="27" fillId="41" borderId="13" xfId="0" applyNumberFormat="1" applyFont="1" applyFill="1" applyBorder="1"/>
    <xf numFmtId="164" fontId="27" fillId="41" borderId="12" xfId="0" applyFont="1" applyFill="1" applyBorder="1"/>
    <xf numFmtId="2" fontId="27" fillId="41" borderId="12" xfId="0" applyNumberFormat="1" applyFont="1" applyFill="1" applyBorder="1"/>
    <xf numFmtId="1" fontId="27" fillId="34" borderId="13" xfId="0" applyNumberFormat="1" applyFont="1" applyFill="1" applyBorder="1"/>
    <xf numFmtId="1" fontId="27" fillId="34" borderId="12" xfId="0" applyNumberFormat="1" applyFont="1" applyFill="1" applyBorder="1"/>
    <xf numFmtId="1" fontId="0" fillId="42" borderId="21" xfId="0" applyNumberFormat="1" applyFill="1" applyBorder="1"/>
    <xf numFmtId="164" fontId="0" fillId="42" borderId="21" xfId="0" applyFill="1" applyBorder="1"/>
    <xf numFmtId="4" fontId="0" fillId="42" borderId="21" xfId="0" applyNumberFormat="1" applyFill="1" applyBorder="1"/>
    <xf numFmtId="164" fontId="0" fillId="43" borderId="21" xfId="0" applyFill="1" applyBorder="1"/>
    <xf numFmtId="165" fontId="0" fillId="43" borderId="21" xfId="0" applyNumberFormat="1" applyFill="1" applyBorder="1"/>
    <xf numFmtId="0" fontId="27" fillId="34" borderId="12" xfId="0" applyNumberFormat="1" applyFont="1" applyFill="1" applyBorder="1"/>
    <xf numFmtId="164" fontId="27" fillId="46" borderId="13" xfId="0" applyFont="1" applyFill="1" applyBorder="1"/>
    <xf numFmtId="1" fontId="27" fillId="46" borderId="13" xfId="0" applyNumberFormat="1" applyFont="1" applyFill="1" applyBorder="1"/>
    <xf numFmtId="2" fontId="27" fillId="46" borderId="13" xfId="0" applyNumberFormat="1" applyFont="1" applyFill="1" applyBorder="1"/>
    <xf numFmtId="164" fontId="27" fillId="46" borderId="12" xfId="0" applyFont="1" applyFill="1" applyBorder="1"/>
    <xf numFmtId="0" fontId="27" fillId="46" borderId="12" xfId="0" applyNumberFormat="1" applyFont="1" applyFill="1" applyBorder="1"/>
    <xf numFmtId="1" fontId="27" fillId="46" borderId="12" xfId="0" applyNumberFormat="1" applyFont="1" applyFill="1" applyBorder="1"/>
    <xf numFmtId="164" fontId="27" fillId="34" borderId="12" xfId="0" quotePrefix="1" applyFont="1" applyFill="1" applyBorder="1" applyAlignment="1">
      <alignment horizontal="right"/>
    </xf>
    <xf numFmtId="164" fontId="28" fillId="34" borderId="14" xfId="0" applyFont="1" applyFill="1" applyBorder="1" applyAlignment="1">
      <alignment horizontal="center" vertical="center"/>
    </xf>
    <xf numFmtId="164" fontId="28" fillId="34" borderId="15" xfId="0" applyFont="1" applyFill="1" applyBorder="1" applyAlignment="1">
      <alignment horizontal="center" vertical="center"/>
    </xf>
    <xf numFmtId="0" fontId="27" fillId="34" borderId="13" xfId="0" applyNumberFormat="1" applyFont="1" applyFill="1" applyBorder="1" applyAlignment="1">
      <alignment horizontal="center" vertical="center"/>
    </xf>
    <xf numFmtId="0" fontId="27" fillId="34" borderId="12" xfId="0" applyNumberFormat="1" applyFont="1" applyFill="1" applyBorder="1" applyAlignment="1">
      <alignment horizontal="center" vertical="center"/>
    </xf>
    <xf numFmtId="164" fontId="28" fillId="34" borderId="16" xfId="0" applyFont="1" applyFill="1" applyBorder="1" applyAlignment="1">
      <alignment horizontal="left" vertical="center"/>
    </xf>
    <xf numFmtId="0" fontId="27" fillId="34" borderId="13" xfId="0" applyNumberFormat="1" applyFont="1" applyFill="1" applyBorder="1" applyAlignment="1">
      <alignment horizontal="left" vertical="center"/>
    </xf>
    <xf numFmtId="0" fontId="27" fillId="34" borderId="12" xfId="0" applyNumberFormat="1" applyFont="1" applyFill="1" applyBorder="1" applyAlignment="1">
      <alignment horizontal="left" vertical="center"/>
    </xf>
    <xf numFmtId="164" fontId="27" fillId="34" borderId="13" xfId="0" quotePrefix="1" applyFont="1" applyFill="1" applyBorder="1"/>
    <xf numFmtId="1" fontId="27" fillId="34" borderId="13" xfId="0" quotePrefix="1" applyNumberFormat="1" applyFont="1" applyFill="1" applyBorder="1"/>
    <xf numFmtId="164" fontId="27" fillId="34" borderId="12" xfId="0" quotePrefix="1" applyFont="1" applyFill="1" applyBorder="1"/>
    <xf numFmtId="164" fontId="24" fillId="0" borderId="0" xfId="0" applyFont="1" applyAlignment="1">
      <alignment horizontal="center"/>
    </xf>
    <xf numFmtId="2" fontId="27" fillId="41" borderId="0" xfId="0" applyNumberFormat="1" applyFont="1" applyFill="1"/>
    <xf numFmtId="164" fontId="27" fillId="34" borderId="0" xfId="0" applyFont="1" applyFill="1"/>
    <xf numFmtId="164" fontId="0" fillId="43" borderId="0" xfId="0" applyFill="1"/>
    <xf numFmtId="164" fontId="48" fillId="40" borderId="0" xfId="0" applyFont="1" applyFill="1" applyAlignment="1">
      <alignment vertical="center" wrapText="1"/>
    </xf>
    <xf numFmtId="164" fontId="27" fillId="34" borderId="13" xfId="0" applyFont="1" applyFill="1" applyBorder="1" applyAlignment="1">
      <alignment wrapText="1"/>
    </xf>
    <xf numFmtId="2" fontId="27" fillId="34" borderId="12" xfId="0" applyNumberFormat="1" applyFont="1" applyFill="1" applyBorder="1"/>
    <xf numFmtId="0" fontId="27" fillId="34" borderId="13" xfId="0" applyNumberFormat="1" applyFont="1" applyFill="1" applyBorder="1"/>
    <xf numFmtId="164" fontId="27" fillId="34" borderId="12" xfId="0" applyFont="1" applyFill="1" applyBorder="1" applyAlignment="1">
      <alignment wrapText="1"/>
    </xf>
    <xf numFmtId="2" fontId="49" fillId="41" borderId="12" xfId="0" applyNumberFormat="1" applyFont="1" applyFill="1" applyBorder="1"/>
    <xf numFmtId="2" fontId="50" fillId="41" borderId="12" xfId="0" applyNumberFormat="1" applyFont="1" applyFill="1" applyBorder="1"/>
    <xf numFmtId="2" fontId="50" fillId="41" borderId="13" xfId="0" applyNumberFormat="1" applyFont="1" applyFill="1" applyBorder="1"/>
    <xf numFmtId="2" fontId="27" fillId="34" borderId="12" xfId="0" quotePrefix="1" applyNumberFormat="1" applyFont="1" applyFill="1" applyBorder="1"/>
    <xf numFmtId="164" fontId="27" fillId="44" borderId="12" xfId="0" applyFont="1" applyFill="1" applyBorder="1"/>
    <xf numFmtId="43" fontId="24" fillId="0" borderId="0" xfId="42" applyFont="1" applyAlignment="1">
      <alignment horizontal="center"/>
    </xf>
    <xf numFmtId="43" fontId="27" fillId="41" borderId="13" xfId="42" applyFont="1" applyFill="1" applyBorder="1"/>
    <xf numFmtId="164" fontId="51" fillId="47" borderId="0" xfId="0" applyFont="1" applyFill="1" applyAlignment="1">
      <alignment vertical="center" wrapText="1"/>
    </xf>
    <xf numFmtId="164" fontId="49" fillId="41" borderId="12" xfId="0" applyFont="1" applyFill="1" applyBorder="1"/>
    <xf numFmtId="164" fontId="49" fillId="34" borderId="12" xfId="0" applyFont="1" applyFill="1" applyBorder="1"/>
    <xf numFmtId="1" fontId="49" fillId="34" borderId="13" xfId="0" applyNumberFormat="1" applyFont="1" applyFill="1" applyBorder="1"/>
    <xf numFmtId="164" fontId="22" fillId="0" borderId="0" xfId="0" applyFont="1"/>
    <xf numFmtId="1" fontId="22" fillId="42" borderId="21" xfId="0" applyNumberFormat="1" applyFont="1" applyFill="1" applyBorder="1"/>
    <xf numFmtId="164" fontId="22" fillId="42" borderId="21" xfId="0" applyFont="1" applyFill="1" applyBorder="1"/>
    <xf numFmtId="4" fontId="22" fillId="42" borderId="21" xfId="0" applyNumberFormat="1" applyFont="1" applyFill="1" applyBorder="1"/>
    <xf numFmtId="164" fontId="22" fillId="43" borderId="21" xfId="0" applyFont="1" applyFill="1" applyBorder="1"/>
    <xf numFmtId="164" fontId="52" fillId="40" borderId="19" xfId="0" applyFont="1" applyFill="1" applyBorder="1" applyAlignment="1">
      <alignment vertical="center" wrapText="1"/>
    </xf>
    <xf numFmtId="43" fontId="22" fillId="0" borderId="0" xfId="42" applyFont="1"/>
    <xf numFmtId="164" fontId="50" fillId="41" borderId="12" xfId="0" applyFont="1" applyFill="1" applyBorder="1"/>
    <xf numFmtId="164" fontId="50" fillId="34" borderId="12" xfId="0" applyFont="1" applyFill="1" applyBorder="1"/>
    <xf numFmtId="1" fontId="50" fillId="34" borderId="13" xfId="0" applyNumberFormat="1" applyFont="1" applyFill="1" applyBorder="1"/>
    <xf numFmtId="164" fontId="53" fillId="0" borderId="0" xfId="0" applyFont="1"/>
    <xf numFmtId="1" fontId="53" fillId="42" borderId="21" xfId="0" applyNumberFormat="1" applyFont="1" applyFill="1" applyBorder="1"/>
    <xf numFmtId="164" fontId="53" fillId="42" borderId="21" xfId="0" applyFont="1" applyFill="1" applyBorder="1"/>
    <xf numFmtId="4" fontId="53" fillId="42" borderId="21" xfId="0" applyNumberFormat="1" applyFont="1" applyFill="1" applyBorder="1"/>
    <xf numFmtId="164" fontId="53" fillId="43" borderId="21" xfId="0" applyFont="1" applyFill="1" applyBorder="1"/>
    <xf numFmtId="164" fontId="54" fillId="40" borderId="19" xfId="0" applyFont="1" applyFill="1" applyBorder="1" applyAlignment="1">
      <alignment vertical="center" wrapText="1"/>
    </xf>
    <xf numFmtId="43" fontId="53" fillId="0" borderId="0" xfId="42" applyFont="1"/>
    <xf numFmtId="164" fontId="24" fillId="0" borderId="0" xfId="0" applyFont="1"/>
    <xf numFmtId="164" fontId="24" fillId="0" borderId="22" xfId="0" applyFont="1" applyBorder="1"/>
    <xf numFmtId="164" fontId="24" fillId="0" borderId="0" xfId="0" applyFont="1" applyAlignment="1">
      <alignment horizontal="center"/>
    </xf>
    <xf numFmtId="164" fontId="24" fillId="0" borderId="10" xfId="0" applyFont="1" applyBorder="1" applyAlignment="1">
      <alignment horizontal="center"/>
    </xf>
    <xf numFmtId="164" fontId="24" fillId="44" borderId="0" xfId="0" applyFont="1" applyFill="1" applyAlignment="1">
      <alignment horizontal="center"/>
    </xf>
    <xf numFmtId="164" fontId="24" fillId="34" borderId="0" xfId="0" applyFont="1" applyFill="1" applyAlignment="1">
      <alignment horizontal="center"/>
    </xf>
    <xf numFmtId="164" fontId="24" fillId="34" borderId="22" xfId="0" applyFont="1" applyFill="1" applyBorder="1" applyAlignment="1">
      <alignment horizontal="center"/>
    </xf>
    <xf numFmtId="164" fontId="24" fillId="45" borderId="10" xfId="0" applyFont="1" applyFill="1" applyBorder="1" applyAlignment="1">
      <alignment horizontal="center" vertical="center"/>
    </xf>
    <xf numFmtId="164" fontId="24" fillId="45" borderId="0" xfId="0" applyFont="1" applyFill="1" applyAlignment="1">
      <alignment horizontal="center" vertical="center"/>
    </xf>
  </cellXfs>
  <cellStyles count="1023">
    <cellStyle name="20% - Accent1" xfId="19" builtinId="30" customBuiltin="1"/>
    <cellStyle name="20% - Accent1 10" xfId="1000" xr:uid="{00000000-0005-0000-0000-000001000000}"/>
    <cellStyle name="20% - Accent1 2" xfId="62" xr:uid="{00000000-0005-0000-0000-000002000000}"/>
    <cellStyle name="20% - Accent1 2 2" xfId="87" xr:uid="{00000000-0005-0000-0000-000003000000}"/>
    <cellStyle name="20% - Accent1 2 2 2" xfId="115" xr:uid="{00000000-0005-0000-0000-000004000000}"/>
    <cellStyle name="20% - Accent1 2 2 2 2" xfId="199" xr:uid="{00000000-0005-0000-0000-000005000000}"/>
    <cellStyle name="20% - Accent1 2 2 2 2 2" xfId="423" xr:uid="{00000000-0005-0000-0000-000006000000}"/>
    <cellStyle name="20% - Accent1 2 2 2 2 2 2" xfId="871" xr:uid="{00000000-0005-0000-0000-000007000000}"/>
    <cellStyle name="20% - Accent1 2 2 2 2 3" xfId="647" xr:uid="{00000000-0005-0000-0000-000008000000}"/>
    <cellStyle name="20% - Accent1 2 2 2 3" xfId="339" xr:uid="{00000000-0005-0000-0000-000009000000}"/>
    <cellStyle name="20% - Accent1 2 2 2 3 2" xfId="787" xr:uid="{00000000-0005-0000-0000-00000A000000}"/>
    <cellStyle name="20% - Accent1 2 2 2 4" xfId="563" xr:uid="{00000000-0005-0000-0000-00000B000000}"/>
    <cellStyle name="20% - Accent1 2 2 3" xfId="171" xr:uid="{00000000-0005-0000-0000-00000C000000}"/>
    <cellStyle name="20% - Accent1 2 2 3 2" xfId="395" xr:uid="{00000000-0005-0000-0000-00000D000000}"/>
    <cellStyle name="20% - Accent1 2 2 3 2 2" xfId="843" xr:uid="{00000000-0005-0000-0000-00000E000000}"/>
    <cellStyle name="20% - Accent1 2 2 3 3" xfId="619" xr:uid="{00000000-0005-0000-0000-00000F000000}"/>
    <cellStyle name="20% - Accent1 2 2 4" xfId="311" xr:uid="{00000000-0005-0000-0000-000010000000}"/>
    <cellStyle name="20% - Accent1 2 2 4 2" xfId="759" xr:uid="{00000000-0005-0000-0000-000011000000}"/>
    <cellStyle name="20% - Accent1 2 2 5" xfId="535" xr:uid="{00000000-0005-0000-0000-000012000000}"/>
    <cellStyle name="20% - Accent1 2 3" xfId="101" xr:uid="{00000000-0005-0000-0000-000013000000}"/>
    <cellStyle name="20% - Accent1 2 3 2" xfId="185" xr:uid="{00000000-0005-0000-0000-000014000000}"/>
    <cellStyle name="20% - Accent1 2 3 2 2" xfId="409" xr:uid="{00000000-0005-0000-0000-000015000000}"/>
    <cellStyle name="20% - Accent1 2 3 2 2 2" xfId="857" xr:uid="{00000000-0005-0000-0000-000016000000}"/>
    <cellStyle name="20% - Accent1 2 3 2 3" xfId="633" xr:uid="{00000000-0005-0000-0000-000017000000}"/>
    <cellStyle name="20% - Accent1 2 3 3" xfId="325" xr:uid="{00000000-0005-0000-0000-000018000000}"/>
    <cellStyle name="20% - Accent1 2 3 3 2" xfId="773" xr:uid="{00000000-0005-0000-0000-000019000000}"/>
    <cellStyle name="20% - Accent1 2 3 4" xfId="549" xr:uid="{00000000-0005-0000-0000-00001A000000}"/>
    <cellStyle name="20% - Accent1 2 4" xfId="157" xr:uid="{00000000-0005-0000-0000-00001B000000}"/>
    <cellStyle name="20% - Accent1 2 4 2" xfId="381" xr:uid="{00000000-0005-0000-0000-00001C000000}"/>
    <cellStyle name="20% - Accent1 2 4 2 2" xfId="829" xr:uid="{00000000-0005-0000-0000-00001D000000}"/>
    <cellStyle name="20% - Accent1 2 4 3" xfId="605" xr:uid="{00000000-0005-0000-0000-00001E000000}"/>
    <cellStyle name="20% - Accent1 2 5" xfId="297" xr:uid="{00000000-0005-0000-0000-00001F000000}"/>
    <cellStyle name="20% - Accent1 2 5 2" xfId="745" xr:uid="{00000000-0005-0000-0000-000020000000}"/>
    <cellStyle name="20% - Accent1 2 6" xfId="521" xr:uid="{00000000-0005-0000-0000-000021000000}"/>
    <cellStyle name="20% - Accent1 3" xfId="129" xr:uid="{00000000-0005-0000-0000-000022000000}"/>
    <cellStyle name="20% - Accent1 3 2" xfId="213" xr:uid="{00000000-0005-0000-0000-000023000000}"/>
    <cellStyle name="20% - Accent1 3 2 2" xfId="437" xr:uid="{00000000-0005-0000-0000-000024000000}"/>
    <cellStyle name="20% - Accent1 3 2 2 2" xfId="885" xr:uid="{00000000-0005-0000-0000-000025000000}"/>
    <cellStyle name="20% - Accent1 3 2 3" xfId="661" xr:uid="{00000000-0005-0000-0000-000026000000}"/>
    <cellStyle name="20% - Accent1 3 3" xfId="353" xr:uid="{00000000-0005-0000-0000-000027000000}"/>
    <cellStyle name="20% - Accent1 3 3 2" xfId="801" xr:uid="{00000000-0005-0000-0000-000028000000}"/>
    <cellStyle name="20% - Accent1 3 4" xfId="577" xr:uid="{00000000-0005-0000-0000-000029000000}"/>
    <cellStyle name="20% - Accent1 4" xfId="143" xr:uid="{00000000-0005-0000-0000-00002A000000}"/>
    <cellStyle name="20% - Accent1 4 2" xfId="227" xr:uid="{00000000-0005-0000-0000-00002B000000}"/>
    <cellStyle name="20% - Accent1 4 2 2" xfId="451" xr:uid="{00000000-0005-0000-0000-00002C000000}"/>
    <cellStyle name="20% - Accent1 4 2 2 2" xfId="899" xr:uid="{00000000-0005-0000-0000-00002D000000}"/>
    <cellStyle name="20% - Accent1 4 2 3" xfId="675" xr:uid="{00000000-0005-0000-0000-00002E000000}"/>
    <cellStyle name="20% - Accent1 4 3" xfId="367" xr:uid="{00000000-0005-0000-0000-00002F000000}"/>
    <cellStyle name="20% - Accent1 4 3 2" xfId="815" xr:uid="{00000000-0005-0000-0000-000030000000}"/>
    <cellStyle name="20% - Accent1 4 4" xfId="591" xr:uid="{00000000-0005-0000-0000-000031000000}"/>
    <cellStyle name="20% - Accent1 5" xfId="241" xr:uid="{00000000-0005-0000-0000-000032000000}"/>
    <cellStyle name="20% - Accent1 5 2" xfId="465" xr:uid="{00000000-0005-0000-0000-000033000000}"/>
    <cellStyle name="20% - Accent1 5 2 2" xfId="913" xr:uid="{00000000-0005-0000-0000-000034000000}"/>
    <cellStyle name="20% - Accent1 5 3" xfId="689" xr:uid="{00000000-0005-0000-0000-000035000000}"/>
    <cellStyle name="20% - Accent1 6" xfId="255" xr:uid="{00000000-0005-0000-0000-000036000000}"/>
    <cellStyle name="20% - Accent1 6 2" xfId="479" xr:uid="{00000000-0005-0000-0000-000037000000}"/>
    <cellStyle name="20% - Accent1 6 2 2" xfId="927" xr:uid="{00000000-0005-0000-0000-000038000000}"/>
    <cellStyle name="20% - Accent1 6 3" xfId="703" xr:uid="{00000000-0005-0000-0000-000039000000}"/>
    <cellStyle name="20% - Accent1 7" xfId="269" xr:uid="{00000000-0005-0000-0000-00003A000000}"/>
    <cellStyle name="20% - Accent1 7 2" xfId="493" xr:uid="{00000000-0005-0000-0000-00003B000000}"/>
    <cellStyle name="20% - Accent1 7 2 2" xfId="941" xr:uid="{00000000-0005-0000-0000-00003C000000}"/>
    <cellStyle name="20% - Accent1 7 3" xfId="717" xr:uid="{00000000-0005-0000-0000-00003D000000}"/>
    <cellStyle name="20% - Accent1 8" xfId="283" xr:uid="{00000000-0005-0000-0000-00003E000000}"/>
    <cellStyle name="20% - Accent1 8 2" xfId="507" xr:uid="{00000000-0005-0000-0000-00003F000000}"/>
    <cellStyle name="20% - Accent1 8 2 2" xfId="955" xr:uid="{00000000-0005-0000-0000-000040000000}"/>
    <cellStyle name="20% - Accent1 8 3" xfId="731" xr:uid="{00000000-0005-0000-0000-000041000000}"/>
    <cellStyle name="20% - Accent1 9" xfId="969" xr:uid="{00000000-0005-0000-0000-000042000000}"/>
    <cellStyle name="20% - Accent2" xfId="23" builtinId="34" customBuiltin="1"/>
    <cellStyle name="20% - Accent2 10" xfId="1004" xr:uid="{00000000-0005-0000-0000-000044000000}"/>
    <cellStyle name="20% - Accent2 2" xfId="66" xr:uid="{00000000-0005-0000-0000-000045000000}"/>
    <cellStyle name="20% - Accent2 2 2" xfId="89" xr:uid="{00000000-0005-0000-0000-000046000000}"/>
    <cellStyle name="20% - Accent2 2 2 2" xfId="117" xr:uid="{00000000-0005-0000-0000-000047000000}"/>
    <cellStyle name="20% - Accent2 2 2 2 2" xfId="201" xr:uid="{00000000-0005-0000-0000-000048000000}"/>
    <cellStyle name="20% - Accent2 2 2 2 2 2" xfId="425" xr:uid="{00000000-0005-0000-0000-000049000000}"/>
    <cellStyle name="20% - Accent2 2 2 2 2 2 2" xfId="873" xr:uid="{00000000-0005-0000-0000-00004A000000}"/>
    <cellStyle name="20% - Accent2 2 2 2 2 3" xfId="649" xr:uid="{00000000-0005-0000-0000-00004B000000}"/>
    <cellStyle name="20% - Accent2 2 2 2 3" xfId="341" xr:uid="{00000000-0005-0000-0000-00004C000000}"/>
    <cellStyle name="20% - Accent2 2 2 2 3 2" xfId="789" xr:uid="{00000000-0005-0000-0000-00004D000000}"/>
    <cellStyle name="20% - Accent2 2 2 2 4" xfId="565" xr:uid="{00000000-0005-0000-0000-00004E000000}"/>
    <cellStyle name="20% - Accent2 2 2 3" xfId="173" xr:uid="{00000000-0005-0000-0000-00004F000000}"/>
    <cellStyle name="20% - Accent2 2 2 3 2" xfId="397" xr:uid="{00000000-0005-0000-0000-000050000000}"/>
    <cellStyle name="20% - Accent2 2 2 3 2 2" xfId="845" xr:uid="{00000000-0005-0000-0000-000051000000}"/>
    <cellStyle name="20% - Accent2 2 2 3 3" xfId="621" xr:uid="{00000000-0005-0000-0000-000052000000}"/>
    <cellStyle name="20% - Accent2 2 2 4" xfId="313" xr:uid="{00000000-0005-0000-0000-000053000000}"/>
    <cellStyle name="20% - Accent2 2 2 4 2" xfId="761" xr:uid="{00000000-0005-0000-0000-000054000000}"/>
    <cellStyle name="20% - Accent2 2 2 5" xfId="537" xr:uid="{00000000-0005-0000-0000-000055000000}"/>
    <cellStyle name="20% - Accent2 2 3" xfId="103" xr:uid="{00000000-0005-0000-0000-000056000000}"/>
    <cellStyle name="20% - Accent2 2 3 2" xfId="187" xr:uid="{00000000-0005-0000-0000-000057000000}"/>
    <cellStyle name="20% - Accent2 2 3 2 2" xfId="411" xr:uid="{00000000-0005-0000-0000-000058000000}"/>
    <cellStyle name="20% - Accent2 2 3 2 2 2" xfId="859" xr:uid="{00000000-0005-0000-0000-000059000000}"/>
    <cellStyle name="20% - Accent2 2 3 2 3" xfId="635" xr:uid="{00000000-0005-0000-0000-00005A000000}"/>
    <cellStyle name="20% - Accent2 2 3 3" xfId="327" xr:uid="{00000000-0005-0000-0000-00005B000000}"/>
    <cellStyle name="20% - Accent2 2 3 3 2" xfId="775" xr:uid="{00000000-0005-0000-0000-00005C000000}"/>
    <cellStyle name="20% - Accent2 2 3 4" xfId="551" xr:uid="{00000000-0005-0000-0000-00005D000000}"/>
    <cellStyle name="20% - Accent2 2 4" xfId="159" xr:uid="{00000000-0005-0000-0000-00005E000000}"/>
    <cellStyle name="20% - Accent2 2 4 2" xfId="383" xr:uid="{00000000-0005-0000-0000-00005F000000}"/>
    <cellStyle name="20% - Accent2 2 4 2 2" xfId="831" xr:uid="{00000000-0005-0000-0000-000060000000}"/>
    <cellStyle name="20% - Accent2 2 4 3" xfId="607" xr:uid="{00000000-0005-0000-0000-000061000000}"/>
    <cellStyle name="20% - Accent2 2 5" xfId="299" xr:uid="{00000000-0005-0000-0000-000062000000}"/>
    <cellStyle name="20% - Accent2 2 5 2" xfId="747" xr:uid="{00000000-0005-0000-0000-000063000000}"/>
    <cellStyle name="20% - Accent2 2 6" xfId="523" xr:uid="{00000000-0005-0000-0000-000064000000}"/>
    <cellStyle name="20% - Accent2 3" xfId="131" xr:uid="{00000000-0005-0000-0000-000065000000}"/>
    <cellStyle name="20% - Accent2 3 2" xfId="215" xr:uid="{00000000-0005-0000-0000-000066000000}"/>
    <cellStyle name="20% - Accent2 3 2 2" xfId="439" xr:uid="{00000000-0005-0000-0000-000067000000}"/>
    <cellStyle name="20% - Accent2 3 2 2 2" xfId="887" xr:uid="{00000000-0005-0000-0000-000068000000}"/>
    <cellStyle name="20% - Accent2 3 2 3" xfId="663" xr:uid="{00000000-0005-0000-0000-000069000000}"/>
    <cellStyle name="20% - Accent2 3 3" xfId="355" xr:uid="{00000000-0005-0000-0000-00006A000000}"/>
    <cellStyle name="20% - Accent2 3 3 2" xfId="803" xr:uid="{00000000-0005-0000-0000-00006B000000}"/>
    <cellStyle name="20% - Accent2 3 4" xfId="579" xr:uid="{00000000-0005-0000-0000-00006C000000}"/>
    <cellStyle name="20% - Accent2 4" xfId="145" xr:uid="{00000000-0005-0000-0000-00006D000000}"/>
    <cellStyle name="20% - Accent2 4 2" xfId="229" xr:uid="{00000000-0005-0000-0000-00006E000000}"/>
    <cellStyle name="20% - Accent2 4 2 2" xfId="453" xr:uid="{00000000-0005-0000-0000-00006F000000}"/>
    <cellStyle name="20% - Accent2 4 2 2 2" xfId="901" xr:uid="{00000000-0005-0000-0000-000070000000}"/>
    <cellStyle name="20% - Accent2 4 2 3" xfId="677" xr:uid="{00000000-0005-0000-0000-000071000000}"/>
    <cellStyle name="20% - Accent2 4 3" xfId="369" xr:uid="{00000000-0005-0000-0000-000072000000}"/>
    <cellStyle name="20% - Accent2 4 3 2" xfId="817" xr:uid="{00000000-0005-0000-0000-000073000000}"/>
    <cellStyle name="20% - Accent2 4 4" xfId="593" xr:uid="{00000000-0005-0000-0000-000074000000}"/>
    <cellStyle name="20% - Accent2 5" xfId="243" xr:uid="{00000000-0005-0000-0000-000075000000}"/>
    <cellStyle name="20% - Accent2 5 2" xfId="467" xr:uid="{00000000-0005-0000-0000-000076000000}"/>
    <cellStyle name="20% - Accent2 5 2 2" xfId="915" xr:uid="{00000000-0005-0000-0000-000077000000}"/>
    <cellStyle name="20% - Accent2 5 3" xfId="691" xr:uid="{00000000-0005-0000-0000-000078000000}"/>
    <cellStyle name="20% - Accent2 6" xfId="257" xr:uid="{00000000-0005-0000-0000-000079000000}"/>
    <cellStyle name="20% - Accent2 6 2" xfId="481" xr:uid="{00000000-0005-0000-0000-00007A000000}"/>
    <cellStyle name="20% - Accent2 6 2 2" xfId="929" xr:uid="{00000000-0005-0000-0000-00007B000000}"/>
    <cellStyle name="20% - Accent2 6 3" xfId="705" xr:uid="{00000000-0005-0000-0000-00007C000000}"/>
    <cellStyle name="20% - Accent2 7" xfId="271" xr:uid="{00000000-0005-0000-0000-00007D000000}"/>
    <cellStyle name="20% - Accent2 7 2" xfId="495" xr:uid="{00000000-0005-0000-0000-00007E000000}"/>
    <cellStyle name="20% - Accent2 7 2 2" xfId="943" xr:uid="{00000000-0005-0000-0000-00007F000000}"/>
    <cellStyle name="20% - Accent2 7 3" xfId="719" xr:uid="{00000000-0005-0000-0000-000080000000}"/>
    <cellStyle name="20% - Accent2 8" xfId="285" xr:uid="{00000000-0005-0000-0000-000081000000}"/>
    <cellStyle name="20% - Accent2 8 2" xfId="509" xr:uid="{00000000-0005-0000-0000-000082000000}"/>
    <cellStyle name="20% - Accent2 8 2 2" xfId="957" xr:uid="{00000000-0005-0000-0000-000083000000}"/>
    <cellStyle name="20% - Accent2 8 3" xfId="733" xr:uid="{00000000-0005-0000-0000-000084000000}"/>
    <cellStyle name="20% - Accent2 9" xfId="971" xr:uid="{00000000-0005-0000-0000-000085000000}"/>
    <cellStyle name="20% - Accent3" xfId="27" builtinId="38" customBuiltin="1"/>
    <cellStyle name="20% - Accent3 10" xfId="1008" xr:uid="{00000000-0005-0000-0000-000087000000}"/>
    <cellStyle name="20% - Accent3 2" xfId="70" xr:uid="{00000000-0005-0000-0000-000088000000}"/>
    <cellStyle name="20% - Accent3 2 2" xfId="91" xr:uid="{00000000-0005-0000-0000-000089000000}"/>
    <cellStyle name="20% - Accent3 2 2 2" xfId="119" xr:uid="{00000000-0005-0000-0000-00008A000000}"/>
    <cellStyle name="20% - Accent3 2 2 2 2" xfId="203" xr:uid="{00000000-0005-0000-0000-00008B000000}"/>
    <cellStyle name="20% - Accent3 2 2 2 2 2" xfId="427" xr:uid="{00000000-0005-0000-0000-00008C000000}"/>
    <cellStyle name="20% - Accent3 2 2 2 2 2 2" xfId="875" xr:uid="{00000000-0005-0000-0000-00008D000000}"/>
    <cellStyle name="20% - Accent3 2 2 2 2 3" xfId="651" xr:uid="{00000000-0005-0000-0000-00008E000000}"/>
    <cellStyle name="20% - Accent3 2 2 2 3" xfId="343" xr:uid="{00000000-0005-0000-0000-00008F000000}"/>
    <cellStyle name="20% - Accent3 2 2 2 3 2" xfId="791" xr:uid="{00000000-0005-0000-0000-000090000000}"/>
    <cellStyle name="20% - Accent3 2 2 2 4" xfId="567" xr:uid="{00000000-0005-0000-0000-000091000000}"/>
    <cellStyle name="20% - Accent3 2 2 3" xfId="175" xr:uid="{00000000-0005-0000-0000-000092000000}"/>
    <cellStyle name="20% - Accent3 2 2 3 2" xfId="399" xr:uid="{00000000-0005-0000-0000-000093000000}"/>
    <cellStyle name="20% - Accent3 2 2 3 2 2" xfId="847" xr:uid="{00000000-0005-0000-0000-000094000000}"/>
    <cellStyle name="20% - Accent3 2 2 3 3" xfId="623" xr:uid="{00000000-0005-0000-0000-000095000000}"/>
    <cellStyle name="20% - Accent3 2 2 4" xfId="315" xr:uid="{00000000-0005-0000-0000-000096000000}"/>
    <cellStyle name="20% - Accent3 2 2 4 2" xfId="763" xr:uid="{00000000-0005-0000-0000-000097000000}"/>
    <cellStyle name="20% - Accent3 2 2 5" xfId="539" xr:uid="{00000000-0005-0000-0000-000098000000}"/>
    <cellStyle name="20% - Accent3 2 3" xfId="105" xr:uid="{00000000-0005-0000-0000-000099000000}"/>
    <cellStyle name="20% - Accent3 2 3 2" xfId="189" xr:uid="{00000000-0005-0000-0000-00009A000000}"/>
    <cellStyle name="20% - Accent3 2 3 2 2" xfId="413" xr:uid="{00000000-0005-0000-0000-00009B000000}"/>
    <cellStyle name="20% - Accent3 2 3 2 2 2" xfId="861" xr:uid="{00000000-0005-0000-0000-00009C000000}"/>
    <cellStyle name="20% - Accent3 2 3 2 3" xfId="637" xr:uid="{00000000-0005-0000-0000-00009D000000}"/>
    <cellStyle name="20% - Accent3 2 3 3" xfId="329" xr:uid="{00000000-0005-0000-0000-00009E000000}"/>
    <cellStyle name="20% - Accent3 2 3 3 2" xfId="777" xr:uid="{00000000-0005-0000-0000-00009F000000}"/>
    <cellStyle name="20% - Accent3 2 3 4" xfId="553" xr:uid="{00000000-0005-0000-0000-0000A0000000}"/>
    <cellStyle name="20% - Accent3 2 4" xfId="161" xr:uid="{00000000-0005-0000-0000-0000A1000000}"/>
    <cellStyle name="20% - Accent3 2 4 2" xfId="385" xr:uid="{00000000-0005-0000-0000-0000A2000000}"/>
    <cellStyle name="20% - Accent3 2 4 2 2" xfId="833" xr:uid="{00000000-0005-0000-0000-0000A3000000}"/>
    <cellStyle name="20% - Accent3 2 4 3" xfId="609" xr:uid="{00000000-0005-0000-0000-0000A4000000}"/>
    <cellStyle name="20% - Accent3 2 5" xfId="301" xr:uid="{00000000-0005-0000-0000-0000A5000000}"/>
    <cellStyle name="20% - Accent3 2 5 2" xfId="749" xr:uid="{00000000-0005-0000-0000-0000A6000000}"/>
    <cellStyle name="20% - Accent3 2 6" xfId="525" xr:uid="{00000000-0005-0000-0000-0000A7000000}"/>
    <cellStyle name="20% - Accent3 3" xfId="133" xr:uid="{00000000-0005-0000-0000-0000A8000000}"/>
    <cellStyle name="20% - Accent3 3 2" xfId="217" xr:uid="{00000000-0005-0000-0000-0000A9000000}"/>
    <cellStyle name="20% - Accent3 3 2 2" xfId="441" xr:uid="{00000000-0005-0000-0000-0000AA000000}"/>
    <cellStyle name="20% - Accent3 3 2 2 2" xfId="889" xr:uid="{00000000-0005-0000-0000-0000AB000000}"/>
    <cellStyle name="20% - Accent3 3 2 3" xfId="665" xr:uid="{00000000-0005-0000-0000-0000AC000000}"/>
    <cellStyle name="20% - Accent3 3 3" xfId="357" xr:uid="{00000000-0005-0000-0000-0000AD000000}"/>
    <cellStyle name="20% - Accent3 3 3 2" xfId="805" xr:uid="{00000000-0005-0000-0000-0000AE000000}"/>
    <cellStyle name="20% - Accent3 3 4" xfId="581" xr:uid="{00000000-0005-0000-0000-0000AF000000}"/>
    <cellStyle name="20% - Accent3 4" xfId="147" xr:uid="{00000000-0005-0000-0000-0000B0000000}"/>
    <cellStyle name="20% - Accent3 4 2" xfId="231" xr:uid="{00000000-0005-0000-0000-0000B1000000}"/>
    <cellStyle name="20% - Accent3 4 2 2" xfId="455" xr:uid="{00000000-0005-0000-0000-0000B2000000}"/>
    <cellStyle name="20% - Accent3 4 2 2 2" xfId="903" xr:uid="{00000000-0005-0000-0000-0000B3000000}"/>
    <cellStyle name="20% - Accent3 4 2 3" xfId="679" xr:uid="{00000000-0005-0000-0000-0000B4000000}"/>
    <cellStyle name="20% - Accent3 4 3" xfId="371" xr:uid="{00000000-0005-0000-0000-0000B5000000}"/>
    <cellStyle name="20% - Accent3 4 3 2" xfId="819" xr:uid="{00000000-0005-0000-0000-0000B6000000}"/>
    <cellStyle name="20% - Accent3 4 4" xfId="595" xr:uid="{00000000-0005-0000-0000-0000B7000000}"/>
    <cellStyle name="20% - Accent3 5" xfId="245" xr:uid="{00000000-0005-0000-0000-0000B8000000}"/>
    <cellStyle name="20% - Accent3 5 2" xfId="469" xr:uid="{00000000-0005-0000-0000-0000B9000000}"/>
    <cellStyle name="20% - Accent3 5 2 2" xfId="917" xr:uid="{00000000-0005-0000-0000-0000BA000000}"/>
    <cellStyle name="20% - Accent3 5 3" xfId="693" xr:uid="{00000000-0005-0000-0000-0000BB000000}"/>
    <cellStyle name="20% - Accent3 6" xfId="259" xr:uid="{00000000-0005-0000-0000-0000BC000000}"/>
    <cellStyle name="20% - Accent3 6 2" xfId="483" xr:uid="{00000000-0005-0000-0000-0000BD000000}"/>
    <cellStyle name="20% - Accent3 6 2 2" xfId="931" xr:uid="{00000000-0005-0000-0000-0000BE000000}"/>
    <cellStyle name="20% - Accent3 6 3" xfId="707" xr:uid="{00000000-0005-0000-0000-0000BF000000}"/>
    <cellStyle name="20% - Accent3 7" xfId="273" xr:uid="{00000000-0005-0000-0000-0000C0000000}"/>
    <cellStyle name="20% - Accent3 7 2" xfId="497" xr:uid="{00000000-0005-0000-0000-0000C1000000}"/>
    <cellStyle name="20% - Accent3 7 2 2" xfId="945" xr:uid="{00000000-0005-0000-0000-0000C2000000}"/>
    <cellStyle name="20% - Accent3 7 3" xfId="721" xr:uid="{00000000-0005-0000-0000-0000C3000000}"/>
    <cellStyle name="20% - Accent3 8" xfId="287" xr:uid="{00000000-0005-0000-0000-0000C4000000}"/>
    <cellStyle name="20% - Accent3 8 2" xfId="511" xr:uid="{00000000-0005-0000-0000-0000C5000000}"/>
    <cellStyle name="20% - Accent3 8 2 2" xfId="959" xr:uid="{00000000-0005-0000-0000-0000C6000000}"/>
    <cellStyle name="20% - Accent3 8 3" xfId="735" xr:uid="{00000000-0005-0000-0000-0000C7000000}"/>
    <cellStyle name="20% - Accent3 9" xfId="973" xr:uid="{00000000-0005-0000-0000-0000C8000000}"/>
    <cellStyle name="20% - Accent4" xfId="31" builtinId="42" customBuiltin="1"/>
    <cellStyle name="20% - Accent4 10" xfId="1012" xr:uid="{00000000-0005-0000-0000-0000CA000000}"/>
    <cellStyle name="20% - Accent4 2" xfId="74" xr:uid="{00000000-0005-0000-0000-0000CB000000}"/>
    <cellStyle name="20% - Accent4 2 2" xfId="93" xr:uid="{00000000-0005-0000-0000-0000CC000000}"/>
    <cellStyle name="20% - Accent4 2 2 2" xfId="121" xr:uid="{00000000-0005-0000-0000-0000CD000000}"/>
    <cellStyle name="20% - Accent4 2 2 2 2" xfId="205" xr:uid="{00000000-0005-0000-0000-0000CE000000}"/>
    <cellStyle name="20% - Accent4 2 2 2 2 2" xfId="429" xr:uid="{00000000-0005-0000-0000-0000CF000000}"/>
    <cellStyle name="20% - Accent4 2 2 2 2 2 2" xfId="877" xr:uid="{00000000-0005-0000-0000-0000D0000000}"/>
    <cellStyle name="20% - Accent4 2 2 2 2 3" xfId="653" xr:uid="{00000000-0005-0000-0000-0000D1000000}"/>
    <cellStyle name="20% - Accent4 2 2 2 3" xfId="345" xr:uid="{00000000-0005-0000-0000-0000D2000000}"/>
    <cellStyle name="20% - Accent4 2 2 2 3 2" xfId="793" xr:uid="{00000000-0005-0000-0000-0000D3000000}"/>
    <cellStyle name="20% - Accent4 2 2 2 4" xfId="569" xr:uid="{00000000-0005-0000-0000-0000D4000000}"/>
    <cellStyle name="20% - Accent4 2 2 3" xfId="177" xr:uid="{00000000-0005-0000-0000-0000D5000000}"/>
    <cellStyle name="20% - Accent4 2 2 3 2" xfId="401" xr:uid="{00000000-0005-0000-0000-0000D6000000}"/>
    <cellStyle name="20% - Accent4 2 2 3 2 2" xfId="849" xr:uid="{00000000-0005-0000-0000-0000D7000000}"/>
    <cellStyle name="20% - Accent4 2 2 3 3" xfId="625" xr:uid="{00000000-0005-0000-0000-0000D8000000}"/>
    <cellStyle name="20% - Accent4 2 2 4" xfId="317" xr:uid="{00000000-0005-0000-0000-0000D9000000}"/>
    <cellStyle name="20% - Accent4 2 2 4 2" xfId="765" xr:uid="{00000000-0005-0000-0000-0000DA000000}"/>
    <cellStyle name="20% - Accent4 2 2 5" xfId="541" xr:uid="{00000000-0005-0000-0000-0000DB000000}"/>
    <cellStyle name="20% - Accent4 2 3" xfId="107" xr:uid="{00000000-0005-0000-0000-0000DC000000}"/>
    <cellStyle name="20% - Accent4 2 3 2" xfId="191" xr:uid="{00000000-0005-0000-0000-0000DD000000}"/>
    <cellStyle name="20% - Accent4 2 3 2 2" xfId="415" xr:uid="{00000000-0005-0000-0000-0000DE000000}"/>
    <cellStyle name="20% - Accent4 2 3 2 2 2" xfId="863" xr:uid="{00000000-0005-0000-0000-0000DF000000}"/>
    <cellStyle name="20% - Accent4 2 3 2 3" xfId="639" xr:uid="{00000000-0005-0000-0000-0000E0000000}"/>
    <cellStyle name="20% - Accent4 2 3 3" xfId="331" xr:uid="{00000000-0005-0000-0000-0000E1000000}"/>
    <cellStyle name="20% - Accent4 2 3 3 2" xfId="779" xr:uid="{00000000-0005-0000-0000-0000E2000000}"/>
    <cellStyle name="20% - Accent4 2 3 4" xfId="555" xr:uid="{00000000-0005-0000-0000-0000E3000000}"/>
    <cellStyle name="20% - Accent4 2 4" xfId="163" xr:uid="{00000000-0005-0000-0000-0000E4000000}"/>
    <cellStyle name="20% - Accent4 2 4 2" xfId="387" xr:uid="{00000000-0005-0000-0000-0000E5000000}"/>
    <cellStyle name="20% - Accent4 2 4 2 2" xfId="835" xr:uid="{00000000-0005-0000-0000-0000E6000000}"/>
    <cellStyle name="20% - Accent4 2 4 3" xfId="611" xr:uid="{00000000-0005-0000-0000-0000E7000000}"/>
    <cellStyle name="20% - Accent4 2 5" xfId="303" xr:uid="{00000000-0005-0000-0000-0000E8000000}"/>
    <cellStyle name="20% - Accent4 2 5 2" xfId="751" xr:uid="{00000000-0005-0000-0000-0000E9000000}"/>
    <cellStyle name="20% - Accent4 2 6" xfId="527" xr:uid="{00000000-0005-0000-0000-0000EA000000}"/>
    <cellStyle name="20% - Accent4 3" xfId="135" xr:uid="{00000000-0005-0000-0000-0000EB000000}"/>
    <cellStyle name="20% - Accent4 3 2" xfId="219" xr:uid="{00000000-0005-0000-0000-0000EC000000}"/>
    <cellStyle name="20% - Accent4 3 2 2" xfId="443" xr:uid="{00000000-0005-0000-0000-0000ED000000}"/>
    <cellStyle name="20% - Accent4 3 2 2 2" xfId="891" xr:uid="{00000000-0005-0000-0000-0000EE000000}"/>
    <cellStyle name="20% - Accent4 3 2 3" xfId="667" xr:uid="{00000000-0005-0000-0000-0000EF000000}"/>
    <cellStyle name="20% - Accent4 3 3" xfId="359" xr:uid="{00000000-0005-0000-0000-0000F0000000}"/>
    <cellStyle name="20% - Accent4 3 3 2" xfId="807" xr:uid="{00000000-0005-0000-0000-0000F1000000}"/>
    <cellStyle name="20% - Accent4 3 4" xfId="583" xr:uid="{00000000-0005-0000-0000-0000F2000000}"/>
    <cellStyle name="20% - Accent4 4" xfId="149" xr:uid="{00000000-0005-0000-0000-0000F3000000}"/>
    <cellStyle name="20% - Accent4 4 2" xfId="233" xr:uid="{00000000-0005-0000-0000-0000F4000000}"/>
    <cellStyle name="20% - Accent4 4 2 2" xfId="457" xr:uid="{00000000-0005-0000-0000-0000F5000000}"/>
    <cellStyle name="20% - Accent4 4 2 2 2" xfId="905" xr:uid="{00000000-0005-0000-0000-0000F6000000}"/>
    <cellStyle name="20% - Accent4 4 2 3" xfId="681" xr:uid="{00000000-0005-0000-0000-0000F7000000}"/>
    <cellStyle name="20% - Accent4 4 3" xfId="373" xr:uid="{00000000-0005-0000-0000-0000F8000000}"/>
    <cellStyle name="20% - Accent4 4 3 2" xfId="821" xr:uid="{00000000-0005-0000-0000-0000F9000000}"/>
    <cellStyle name="20% - Accent4 4 4" xfId="597" xr:uid="{00000000-0005-0000-0000-0000FA000000}"/>
    <cellStyle name="20% - Accent4 5" xfId="247" xr:uid="{00000000-0005-0000-0000-0000FB000000}"/>
    <cellStyle name="20% - Accent4 5 2" xfId="471" xr:uid="{00000000-0005-0000-0000-0000FC000000}"/>
    <cellStyle name="20% - Accent4 5 2 2" xfId="919" xr:uid="{00000000-0005-0000-0000-0000FD000000}"/>
    <cellStyle name="20% - Accent4 5 3" xfId="695" xr:uid="{00000000-0005-0000-0000-0000FE000000}"/>
    <cellStyle name="20% - Accent4 6" xfId="261" xr:uid="{00000000-0005-0000-0000-0000FF000000}"/>
    <cellStyle name="20% - Accent4 6 2" xfId="485" xr:uid="{00000000-0005-0000-0000-000000010000}"/>
    <cellStyle name="20% - Accent4 6 2 2" xfId="933" xr:uid="{00000000-0005-0000-0000-000001010000}"/>
    <cellStyle name="20% - Accent4 6 3" xfId="709" xr:uid="{00000000-0005-0000-0000-000002010000}"/>
    <cellStyle name="20% - Accent4 7" xfId="275" xr:uid="{00000000-0005-0000-0000-000003010000}"/>
    <cellStyle name="20% - Accent4 7 2" xfId="499" xr:uid="{00000000-0005-0000-0000-000004010000}"/>
    <cellStyle name="20% - Accent4 7 2 2" xfId="947" xr:uid="{00000000-0005-0000-0000-000005010000}"/>
    <cellStyle name="20% - Accent4 7 3" xfId="723" xr:uid="{00000000-0005-0000-0000-000006010000}"/>
    <cellStyle name="20% - Accent4 8" xfId="289" xr:uid="{00000000-0005-0000-0000-000007010000}"/>
    <cellStyle name="20% - Accent4 8 2" xfId="513" xr:uid="{00000000-0005-0000-0000-000008010000}"/>
    <cellStyle name="20% - Accent4 8 2 2" xfId="961" xr:uid="{00000000-0005-0000-0000-000009010000}"/>
    <cellStyle name="20% - Accent4 8 3" xfId="737" xr:uid="{00000000-0005-0000-0000-00000A010000}"/>
    <cellStyle name="20% - Accent4 9" xfId="975" xr:uid="{00000000-0005-0000-0000-00000B010000}"/>
    <cellStyle name="20% - Accent5" xfId="35" builtinId="46" customBuiltin="1"/>
    <cellStyle name="20% - Accent5 10" xfId="1016" xr:uid="{00000000-0005-0000-0000-00000D010000}"/>
    <cellStyle name="20% - Accent5 2" xfId="78" xr:uid="{00000000-0005-0000-0000-00000E010000}"/>
    <cellStyle name="20% - Accent5 2 2" xfId="95" xr:uid="{00000000-0005-0000-0000-00000F010000}"/>
    <cellStyle name="20% - Accent5 2 2 2" xfId="123" xr:uid="{00000000-0005-0000-0000-000010010000}"/>
    <cellStyle name="20% - Accent5 2 2 2 2" xfId="207" xr:uid="{00000000-0005-0000-0000-000011010000}"/>
    <cellStyle name="20% - Accent5 2 2 2 2 2" xfId="431" xr:uid="{00000000-0005-0000-0000-000012010000}"/>
    <cellStyle name="20% - Accent5 2 2 2 2 2 2" xfId="879" xr:uid="{00000000-0005-0000-0000-000013010000}"/>
    <cellStyle name="20% - Accent5 2 2 2 2 3" xfId="655" xr:uid="{00000000-0005-0000-0000-000014010000}"/>
    <cellStyle name="20% - Accent5 2 2 2 3" xfId="347" xr:uid="{00000000-0005-0000-0000-000015010000}"/>
    <cellStyle name="20% - Accent5 2 2 2 3 2" xfId="795" xr:uid="{00000000-0005-0000-0000-000016010000}"/>
    <cellStyle name="20% - Accent5 2 2 2 4" xfId="571" xr:uid="{00000000-0005-0000-0000-000017010000}"/>
    <cellStyle name="20% - Accent5 2 2 3" xfId="179" xr:uid="{00000000-0005-0000-0000-000018010000}"/>
    <cellStyle name="20% - Accent5 2 2 3 2" xfId="403" xr:uid="{00000000-0005-0000-0000-000019010000}"/>
    <cellStyle name="20% - Accent5 2 2 3 2 2" xfId="851" xr:uid="{00000000-0005-0000-0000-00001A010000}"/>
    <cellStyle name="20% - Accent5 2 2 3 3" xfId="627" xr:uid="{00000000-0005-0000-0000-00001B010000}"/>
    <cellStyle name="20% - Accent5 2 2 4" xfId="319" xr:uid="{00000000-0005-0000-0000-00001C010000}"/>
    <cellStyle name="20% - Accent5 2 2 4 2" xfId="767" xr:uid="{00000000-0005-0000-0000-00001D010000}"/>
    <cellStyle name="20% - Accent5 2 2 5" xfId="543" xr:uid="{00000000-0005-0000-0000-00001E010000}"/>
    <cellStyle name="20% - Accent5 2 3" xfId="109" xr:uid="{00000000-0005-0000-0000-00001F010000}"/>
    <cellStyle name="20% - Accent5 2 3 2" xfId="193" xr:uid="{00000000-0005-0000-0000-000020010000}"/>
    <cellStyle name="20% - Accent5 2 3 2 2" xfId="417" xr:uid="{00000000-0005-0000-0000-000021010000}"/>
    <cellStyle name="20% - Accent5 2 3 2 2 2" xfId="865" xr:uid="{00000000-0005-0000-0000-000022010000}"/>
    <cellStyle name="20% - Accent5 2 3 2 3" xfId="641" xr:uid="{00000000-0005-0000-0000-000023010000}"/>
    <cellStyle name="20% - Accent5 2 3 3" xfId="333" xr:uid="{00000000-0005-0000-0000-000024010000}"/>
    <cellStyle name="20% - Accent5 2 3 3 2" xfId="781" xr:uid="{00000000-0005-0000-0000-000025010000}"/>
    <cellStyle name="20% - Accent5 2 3 4" xfId="557" xr:uid="{00000000-0005-0000-0000-000026010000}"/>
    <cellStyle name="20% - Accent5 2 4" xfId="165" xr:uid="{00000000-0005-0000-0000-000027010000}"/>
    <cellStyle name="20% - Accent5 2 4 2" xfId="389" xr:uid="{00000000-0005-0000-0000-000028010000}"/>
    <cellStyle name="20% - Accent5 2 4 2 2" xfId="837" xr:uid="{00000000-0005-0000-0000-000029010000}"/>
    <cellStyle name="20% - Accent5 2 4 3" xfId="613" xr:uid="{00000000-0005-0000-0000-00002A010000}"/>
    <cellStyle name="20% - Accent5 2 5" xfId="305" xr:uid="{00000000-0005-0000-0000-00002B010000}"/>
    <cellStyle name="20% - Accent5 2 5 2" xfId="753" xr:uid="{00000000-0005-0000-0000-00002C010000}"/>
    <cellStyle name="20% - Accent5 2 6" xfId="529" xr:uid="{00000000-0005-0000-0000-00002D010000}"/>
    <cellStyle name="20% - Accent5 3" xfId="137" xr:uid="{00000000-0005-0000-0000-00002E010000}"/>
    <cellStyle name="20% - Accent5 3 2" xfId="221" xr:uid="{00000000-0005-0000-0000-00002F010000}"/>
    <cellStyle name="20% - Accent5 3 2 2" xfId="445" xr:uid="{00000000-0005-0000-0000-000030010000}"/>
    <cellStyle name="20% - Accent5 3 2 2 2" xfId="893" xr:uid="{00000000-0005-0000-0000-000031010000}"/>
    <cellStyle name="20% - Accent5 3 2 3" xfId="669" xr:uid="{00000000-0005-0000-0000-000032010000}"/>
    <cellStyle name="20% - Accent5 3 3" xfId="361" xr:uid="{00000000-0005-0000-0000-000033010000}"/>
    <cellStyle name="20% - Accent5 3 3 2" xfId="809" xr:uid="{00000000-0005-0000-0000-000034010000}"/>
    <cellStyle name="20% - Accent5 3 4" xfId="585" xr:uid="{00000000-0005-0000-0000-000035010000}"/>
    <cellStyle name="20% - Accent5 4" xfId="151" xr:uid="{00000000-0005-0000-0000-000036010000}"/>
    <cellStyle name="20% - Accent5 4 2" xfId="235" xr:uid="{00000000-0005-0000-0000-000037010000}"/>
    <cellStyle name="20% - Accent5 4 2 2" xfId="459" xr:uid="{00000000-0005-0000-0000-000038010000}"/>
    <cellStyle name="20% - Accent5 4 2 2 2" xfId="907" xr:uid="{00000000-0005-0000-0000-000039010000}"/>
    <cellStyle name="20% - Accent5 4 2 3" xfId="683" xr:uid="{00000000-0005-0000-0000-00003A010000}"/>
    <cellStyle name="20% - Accent5 4 3" xfId="375" xr:uid="{00000000-0005-0000-0000-00003B010000}"/>
    <cellStyle name="20% - Accent5 4 3 2" xfId="823" xr:uid="{00000000-0005-0000-0000-00003C010000}"/>
    <cellStyle name="20% - Accent5 4 4" xfId="599" xr:uid="{00000000-0005-0000-0000-00003D010000}"/>
    <cellStyle name="20% - Accent5 5" xfId="249" xr:uid="{00000000-0005-0000-0000-00003E010000}"/>
    <cellStyle name="20% - Accent5 5 2" xfId="473" xr:uid="{00000000-0005-0000-0000-00003F010000}"/>
    <cellStyle name="20% - Accent5 5 2 2" xfId="921" xr:uid="{00000000-0005-0000-0000-000040010000}"/>
    <cellStyle name="20% - Accent5 5 3" xfId="697" xr:uid="{00000000-0005-0000-0000-000041010000}"/>
    <cellStyle name="20% - Accent5 6" xfId="263" xr:uid="{00000000-0005-0000-0000-000042010000}"/>
    <cellStyle name="20% - Accent5 6 2" xfId="487" xr:uid="{00000000-0005-0000-0000-000043010000}"/>
    <cellStyle name="20% - Accent5 6 2 2" xfId="935" xr:uid="{00000000-0005-0000-0000-000044010000}"/>
    <cellStyle name="20% - Accent5 6 3" xfId="711" xr:uid="{00000000-0005-0000-0000-000045010000}"/>
    <cellStyle name="20% - Accent5 7" xfId="277" xr:uid="{00000000-0005-0000-0000-000046010000}"/>
    <cellStyle name="20% - Accent5 7 2" xfId="501" xr:uid="{00000000-0005-0000-0000-000047010000}"/>
    <cellStyle name="20% - Accent5 7 2 2" xfId="949" xr:uid="{00000000-0005-0000-0000-000048010000}"/>
    <cellStyle name="20% - Accent5 7 3" xfId="725" xr:uid="{00000000-0005-0000-0000-000049010000}"/>
    <cellStyle name="20% - Accent5 8" xfId="291" xr:uid="{00000000-0005-0000-0000-00004A010000}"/>
    <cellStyle name="20% - Accent5 8 2" xfId="515" xr:uid="{00000000-0005-0000-0000-00004B010000}"/>
    <cellStyle name="20% - Accent5 8 2 2" xfId="963" xr:uid="{00000000-0005-0000-0000-00004C010000}"/>
    <cellStyle name="20% - Accent5 8 3" xfId="739" xr:uid="{00000000-0005-0000-0000-00004D010000}"/>
    <cellStyle name="20% - Accent5 9" xfId="977" xr:uid="{00000000-0005-0000-0000-00004E010000}"/>
    <cellStyle name="20% - Accent6" xfId="39" builtinId="50" customBuiltin="1"/>
    <cellStyle name="20% - Accent6 10" xfId="1020" xr:uid="{00000000-0005-0000-0000-000050010000}"/>
    <cellStyle name="20% - Accent6 2" xfId="82" xr:uid="{00000000-0005-0000-0000-000051010000}"/>
    <cellStyle name="20% - Accent6 2 2" xfId="97" xr:uid="{00000000-0005-0000-0000-000052010000}"/>
    <cellStyle name="20% - Accent6 2 2 2" xfId="125" xr:uid="{00000000-0005-0000-0000-000053010000}"/>
    <cellStyle name="20% - Accent6 2 2 2 2" xfId="209" xr:uid="{00000000-0005-0000-0000-000054010000}"/>
    <cellStyle name="20% - Accent6 2 2 2 2 2" xfId="433" xr:uid="{00000000-0005-0000-0000-000055010000}"/>
    <cellStyle name="20% - Accent6 2 2 2 2 2 2" xfId="881" xr:uid="{00000000-0005-0000-0000-000056010000}"/>
    <cellStyle name="20% - Accent6 2 2 2 2 3" xfId="657" xr:uid="{00000000-0005-0000-0000-000057010000}"/>
    <cellStyle name="20% - Accent6 2 2 2 3" xfId="349" xr:uid="{00000000-0005-0000-0000-000058010000}"/>
    <cellStyle name="20% - Accent6 2 2 2 3 2" xfId="797" xr:uid="{00000000-0005-0000-0000-000059010000}"/>
    <cellStyle name="20% - Accent6 2 2 2 4" xfId="573" xr:uid="{00000000-0005-0000-0000-00005A010000}"/>
    <cellStyle name="20% - Accent6 2 2 3" xfId="181" xr:uid="{00000000-0005-0000-0000-00005B010000}"/>
    <cellStyle name="20% - Accent6 2 2 3 2" xfId="405" xr:uid="{00000000-0005-0000-0000-00005C010000}"/>
    <cellStyle name="20% - Accent6 2 2 3 2 2" xfId="853" xr:uid="{00000000-0005-0000-0000-00005D010000}"/>
    <cellStyle name="20% - Accent6 2 2 3 3" xfId="629" xr:uid="{00000000-0005-0000-0000-00005E010000}"/>
    <cellStyle name="20% - Accent6 2 2 4" xfId="321" xr:uid="{00000000-0005-0000-0000-00005F010000}"/>
    <cellStyle name="20% - Accent6 2 2 4 2" xfId="769" xr:uid="{00000000-0005-0000-0000-000060010000}"/>
    <cellStyle name="20% - Accent6 2 2 5" xfId="545" xr:uid="{00000000-0005-0000-0000-000061010000}"/>
    <cellStyle name="20% - Accent6 2 3" xfId="111" xr:uid="{00000000-0005-0000-0000-000062010000}"/>
    <cellStyle name="20% - Accent6 2 3 2" xfId="195" xr:uid="{00000000-0005-0000-0000-000063010000}"/>
    <cellStyle name="20% - Accent6 2 3 2 2" xfId="419" xr:uid="{00000000-0005-0000-0000-000064010000}"/>
    <cellStyle name="20% - Accent6 2 3 2 2 2" xfId="867" xr:uid="{00000000-0005-0000-0000-000065010000}"/>
    <cellStyle name="20% - Accent6 2 3 2 3" xfId="643" xr:uid="{00000000-0005-0000-0000-000066010000}"/>
    <cellStyle name="20% - Accent6 2 3 3" xfId="335" xr:uid="{00000000-0005-0000-0000-000067010000}"/>
    <cellStyle name="20% - Accent6 2 3 3 2" xfId="783" xr:uid="{00000000-0005-0000-0000-000068010000}"/>
    <cellStyle name="20% - Accent6 2 3 4" xfId="559" xr:uid="{00000000-0005-0000-0000-000069010000}"/>
    <cellStyle name="20% - Accent6 2 4" xfId="167" xr:uid="{00000000-0005-0000-0000-00006A010000}"/>
    <cellStyle name="20% - Accent6 2 4 2" xfId="391" xr:uid="{00000000-0005-0000-0000-00006B010000}"/>
    <cellStyle name="20% - Accent6 2 4 2 2" xfId="839" xr:uid="{00000000-0005-0000-0000-00006C010000}"/>
    <cellStyle name="20% - Accent6 2 4 3" xfId="615" xr:uid="{00000000-0005-0000-0000-00006D010000}"/>
    <cellStyle name="20% - Accent6 2 5" xfId="307" xr:uid="{00000000-0005-0000-0000-00006E010000}"/>
    <cellStyle name="20% - Accent6 2 5 2" xfId="755" xr:uid="{00000000-0005-0000-0000-00006F010000}"/>
    <cellStyle name="20% - Accent6 2 6" xfId="531" xr:uid="{00000000-0005-0000-0000-000070010000}"/>
    <cellStyle name="20% - Accent6 3" xfId="139" xr:uid="{00000000-0005-0000-0000-000071010000}"/>
    <cellStyle name="20% - Accent6 3 2" xfId="223" xr:uid="{00000000-0005-0000-0000-000072010000}"/>
    <cellStyle name="20% - Accent6 3 2 2" xfId="447" xr:uid="{00000000-0005-0000-0000-000073010000}"/>
    <cellStyle name="20% - Accent6 3 2 2 2" xfId="895" xr:uid="{00000000-0005-0000-0000-000074010000}"/>
    <cellStyle name="20% - Accent6 3 2 3" xfId="671" xr:uid="{00000000-0005-0000-0000-000075010000}"/>
    <cellStyle name="20% - Accent6 3 3" xfId="363" xr:uid="{00000000-0005-0000-0000-000076010000}"/>
    <cellStyle name="20% - Accent6 3 3 2" xfId="811" xr:uid="{00000000-0005-0000-0000-000077010000}"/>
    <cellStyle name="20% - Accent6 3 4" xfId="587" xr:uid="{00000000-0005-0000-0000-000078010000}"/>
    <cellStyle name="20% - Accent6 4" xfId="153" xr:uid="{00000000-0005-0000-0000-000079010000}"/>
    <cellStyle name="20% - Accent6 4 2" xfId="237" xr:uid="{00000000-0005-0000-0000-00007A010000}"/>
    <cellStyle name="20% - Accent6 4 2 2" xfId="461" xr:uid="{00000000-0005-0000-0000-00007B010000}"/>
    <cellStyle name="20% - Accent6 4 2 2 2" xfId="909" xr:uid="{00000000-0005-0000-0000-00007C010000}"/>
    <cellStyle name="20% - Accent6 4 2 3" xfId="685" xr:uid="{00000000-0005-0000-0000-00007D010000}"/>
    <cellStyle name="20% - Accent6 4 3" xfId="377" xr:uid="{00000000-0005-0000-0000-00007E010000}"/>
    <cellStyle name="20% - Accent6 4 3 2" xfId="825" xr:uid="{00000000-0005-0000-0000-00007F010000}"/>
    <cellStyle name="20% - Accent6 4 4" xfId="601" xr:uid="{00000000-0005-0000-0000-000080010000}"/>
    <cellStyle name="20% - Accent6 5" xfId="251" xr:uid="{00000000-0005-0000-0000-000081010000}"/>
    <cellStyle name="20% - Accent6 5 2" xfId="475" xr:uid="{00000000-0005-0000-0000-000082010000}"/>
    <cellStyle name="20% - Accent6 5 2 2" xfId="923" xr:uid="{00000000-0005-0000-0000-000083010000}"/>
    <cellStyle name="20% - Accent6 5 3" xfId="699" xr:uid="{00000000-0005-0000-0000-000084010000}"/>
    <cellStyle name="20% - Accent6 6" xfId="265" xr:uid="{00000000-0005-0000-0000-000085010000}"/>
    <cellStyle name="20% - Accent6 6 2" xfId="489" xr:uid="{00000000-0005-0000-0000-000086010000}"/>
    <cellStyle name="20% - Accent6 6 2 2" xfId="937" xr:uid="{00000000-0005-0000-0000-000087010000}"/>
    <cellStyle name="20% - Accent6 6 3" xfId="713" xr:uid="{00000000-0005-0000-0000-000088010000}"/>
    <cellStyle name="20% - Accent6 7" xfId="279" xr:uid="{00000000-0005-0000-0000-000089010000}"/>
    <cellStyle name="20% - Accent6 7 2" xfId="503" xr:uid="{00000000-0005-0000-0000-00008A010000}"/>
    <cellStyle name="20% - Accent6 7 2 2" xfId="951" xr:uid="{00000000-0005-0000-0000-00008B010000}"/>
    <cellStyle name="20% - Accent6 7 3" xfId="727" xr:uid="{00000000-0005-0000-0000-00008C010000}"/>
    <cellStyle name="20% - Accent6 8" xfId="293" xr:uid="{00000000-0005-0000-0000-00008D010000}"/>
    <cellStyle name="20% - Accent6 8 2" xfId="517" xr:uid="{00000000-0005-0000-0000-00008E010000}"/>
    <cellStyle name="20% - Accent6 8 2 2" xfId="965" xr:uid="{00000000-0005-0000-0000-00008F010000}"/>
    <cellStyle name="20% - Accent6 8 3" xfId="741" xr:uid="{00000000-0005-0000-0000-000090010000}"/>
    <cellStyle name="20% - Accent6 9" xfId="979" xr:uid="{00000000-0005-0000-0000-000091010000}"/>
    <cellStyle name="40% - Accent1" xfId="20" builtinId="31" customBuiltin="1"/>
    <cellStyle name="40% - Accent1 10" xfId="1001" xr:uid="{00000000-0005-0000-0000-000093010000}"/>
    <cellStyle name="40% - Accent1 2" xfId="63" xr:uid="{00000000-0005-0000-0000-000094010000}"/>
    <cellStyle name="40% - Accent1 2 2" xfId="88" xr:uid="{00000000-0005-0000-0000-000095010000}"/>
    <cellStyle name="40% - Accent1 2 2 2" xfId="116" xr:uid="{00000000-0005-0000-0000-000096010000}"/>
    <cellStyle name="40% - Accent1 2 2 2 2" xfId="200" xr:uid="{00000000-0005-0000-0000-000097010000}"/>
    <cellStyle name="40% - Accent1 2 2 2 2 2" xfId="424" xr:uid="{00000000-0005-0000-0000-000098010000}"/>
    <cellStyle name="40% - Accent1 2 2 2 2 2 2" xfId="872" xr:uid="{00000000-0005-0000-0000-000099010000}"/>
    <cellStyle name="40% - Accent1 2 2 2 2 3" xfId="648" xr:uid="{00000000-0005-0000-0000-00009A010000}"/>
    <cellStyle name="40% - Accent1 2 2 2 3" xfId="340" xr:uid="{00000000-0005-0000-0000-00009B010000}"/>
    <cellStyle name="40% - Accent1 2 2 2 3 2" xfId="788" xr:uid="{00000000-0005-0000-0000-00009C010000}"/>
    <cellStyle name="40% - Accent1 2 2 2 4" xfId="564" xr:uid="{00000000-0005-0000-0000-00009D010000}"/>
    <cellStyle name="40% - Accent1 2 2 3" xfId="172" xr:uid="{00000000-0005-0000-0000-00009E010000}"/>
    <cellStyle name="40% - Accent1 2 2 3 2" xfId="396" xr:uid="{00000000-0005-0000-0000-00009F010000}"/>
    <cellStyle name="40% - Accent1 2 2 3 2 2" xfId="844" xr:uid="{00000000-0005-0000-0000-0000A0010000}"/>
    <cellStyle name="40% - Accent1 2 2 3 3" xfId="620" xr:uid="{00000000-0005-0000-0000-0000A1010000}"/>
    <cellStyle name="40% - Accent1 2 2 4" xfId="312" xr:uid="{00000000-0005-0000-0000-0000A2010000}"/>
    <cellStyle name="40% - Accent1 2 2 4 2" xfId="760" xr:uid="{00000000-0005-0000-0000-0000A3010000}"/>
    <cellStyle name="40% - Accent1 2 2 5" xfId="536" xr:uid="{00000000-0005-0000-0000-0000A4010000}"/>
    <cellStyle name="40% - Accent1 2 3" xfId="102" xr:uid="{00000000-0005-0000-0000-0000A5010000}"/>
    <cellStyle name="40% - Accent1 2 3 2" xfId="186" xr:uid="{00000000-0005-0000-0000-0000A6010000}"/>
    <cellStyle name="40% - Accent1 2 3 2 2" xfId="410" xr:uid="{00000000-0005-0000-0000-0000A7010000}"/>
    <cellStyle name="40% - Accent1 2 3 2 2 2" xfId="858" xr:uid="{00000000-0005-0000-0000-0000A8010000}"/>
    <cellStyle name="40% - Accent1 2 3 2 3" xfId="634" xr:uid="{00000000-0005-0000-0000-0000A9010000}"/>
    <cellStyle name="40% - Accent1 2 3 3" xfId="326" xr:uid="{00000000-0005-0000-0000-0000AA010000}"/>
    <cellStyle name="40% - Accent1 2 3 3 2" xfId="774" xr:uid="{00000000-0005-0000-0000-0000AB010000}"/>
    <cellStyle name="40% - Accent1 2 3 4" xfId="550" xr:uid="{00000000-0005-0000-0000-0000AC010000}"/>
    <cellStyle name="40% - Accent1 2 4" xfId="158" xr:uid="{00000000-0005-0000-0000-0000AD010000}"/>
    <cellStyle name="40% - Accent1 2 4 2" xfId="382" xr:uid="{00000000-0005-0000-0000-0000AE010000}"/>
    <cellStyle name="40% - Accent1 2 4 2 2" xfId="830" xr:uid="{00000000-0005-0000-0000-0000AF010000}"/>
    <cellStyle name="40% - Accent1 2 4 3" xfId="606" xr:uid="{00000000-0005-0000-0000-0000B0010000}"/>
    <cellStyle name="40% - Accent1 2 5" xfId="298" xr:uid="{00000000-0005-0000-0000-0000B1010000}"/>
    <cellStyle name="40% - Accent1 2 5 2" xfId="746" xr:uid="{00000000-0005-0000-0000-0000B2010000}"/>
    <cellStyle name="40% - Accent1 2 6" xfId="522" xr:uid="{00000000-0005-0000-0000-0000B3010000}"/>
    <cellStyle name="40% - Accent1 3" xfId="130" xr:uid="{00000000-0005-0000-0000-0000B4010000}"/>
    <cellStyle name="40% - Accent1 3 2" xfId="214" xr:uid="{00000000-0005-0000-0000-0000B5010000}"/>
    <cellStyle name="40% - Accent1 3 2 2" xfId="438" xr:uid="{00000000-0005-0000-0000-0000B6010000}"/>
    <cellStyle name="40% - Accent1 3 2 2 2" xfId="886" xr:uid="{00000000-0005-0000-0000-0000B7010000}"/>
    <cellStyle name="40% - Accent1 3 2 3" xfId="662" xr:uid="{00000000-0005-0000-0000-0000B8010000}"/>
    <cellStyle name="40% - Accent1 3 3" xfId="354" xr:uid="{00000000-0005-0000-0000-0000B9010000}"/>
    <cellStyle name="40% - Accent1 3 3 2" xfId="802" xr:uid="{00000000-0005-0000-0000-0000BA010000}"/>
    <cellStyle name="40% - Accent1 3 4" xfId="578" xr:uid="{00000000-0005-0000-0000-0000BB010000}"/>
    <cellStyle name="40% - Accent1 4" xfId="144" xr:uid="{00000000-0005-0000-0000-0000BC010000}"/>
    <cellStyle name="40% - Accent1 4 2" xfId="228" xr:uid="{00000000-0005-0000-0000-0000BD010000}"/>
    <cellStyle name="40% - Accent1 4 2 2" xfId="452" xr:uid="{00000000-0005-0000-0000-0000BE010000}"/>
    <cellStyle name="40% - Accent1 4 2 2 2" xfId="900" xr:uid="{00000000-0005-0000-0000-0000BF010000}"/>
    <cellStyle name="40% - Accent1 4 2 3" xfId="676" xr:uid="{00000000-0005-0000-0000-0000C0010000}"/>
    <cellStyle name="40% - Accent1 4 3" xfId="368" xr:uid="{00000000-0005-0000-0000-0000C1010000}"/>
    <cellStyle name="40% - Accent1 4 3 2" xfId="816" xr:uid="{00000000-0005-0000-0000-0000C2010000}"/>
    <cellStyle name="40% - Accent1 4 4" xfId="592" xr:uid="{00000000-0005-0000-0000-0000C3010000}"/>
    <cellStyle name="40% - Accent1 5" xfId="242" xr:uid="{00000000-0005-0000-0000-0000C4010000}"/>
    <cellStyle name="40% - Accent1 5 2" xfId="466" xr:uid="{00000000-0005-0000-0000-0000C5010000}"/>
    <cellStyle name="40% - Accent1 5 2 2" xfId="914" xr:uid="{00000000-0005-0000-0000-0000C6010000}"/>
    <cellStyle name="40% - Accent1 5 3" xfId="690" xr:uid="{00000000-0005-0000-0000-0000C7010000}"/>
    <cellStyle name="40% - Accent1 6" xfId="256" xr:uid="{00000000-0005-0000-0000-0000C8010000}"/>
    <cellStyle name="40% - Accent1 6 2" xfId="480" xr:uid="{00000000-0005-0000-0000-0000C9010000}"/>
    <cellStyle name="40% - Accent1 6 2 2" xfId="928" xr:uid="{00000000-0005-0000-0000-0000CA010000}"/>
    <cellStyle name="40% - Accent1 6 3" xfId="704" xr:uid="{00000000-0005-0000-0000-0000CB010000}"/>
    <cellStyle name="40% - Accent1 7" xfId="270" xr:uid="{00000000-0005-0000-0000-0000CC010000}"/>
    <cellStyle name="40% - Accent1 7 2" xfId="494" xr:uid="{00000000-0005-0000-0000-0000CD010000}"/>
    <cellStyle name="40% - Accent1 7 2 2" xfId="942" xr:uid="{00000000-0005-0000-0000-0000CE010000}"/>
    <cellStyle name="40% - Accent1 7 3" xfId="718" xr:uid="{00000000-0005-0000-0000-0000CF010000}"/>
    <cellStyle name="40% - Accent1 8" xfId="284" xr:uid="{00000000-0005-0000-0000-0000D0010000}"/>
    <cellStyle name="40% - Accent1 8 2" xfId="508" xr:uid="{00000000-0005-0000-0000-0000D1010000}"/>
    <cellStyle name="40% - Accent1 8 2 2" xfId="956" xr:uid="{00000000-0005-0000-0000-0000D2010000}"/>
    <cellStyle name="40% - Accent1 8 3" xfId="732" xr:uid="{00000000-0005-0000-0000-0000D3010000}"/>
    <cellStyle name="40% - Accent1 9" xfId="970" xr:uid="{00000000-0005-0000-0000-0000D4010000}"/>
    <cellStyle name="40% - Accent2" xfId="24" builtinId="35" customBuiltin="1"/>
    <cellStyle name="40% - Accent2 10" xfId="1005" xr:uid="{00000000-0005-0000-0000-0000D6010000}"/>
    <cellStyle name="40% - Accent2 2" xfId="67" xr:uid="{00000000-0005-0000-0000-0000D7010000}"/>
    <cellStyle name="40% - Accent2 2 2" xfId="90" xr:uid="{00000000-0005-0000-0000-0000D8010000}"/>
    <cellStyle name="40% - Accent2 2 2 2" xfId="118" xr:uid="{00000000-0005-0000-0000-0000D9010000}"/>
    <cellStyle name="40% - Accent2 2 2 2 2" xfId="202" xr:uid="{00000000-0005-0000-0000-0000DA010000}"/>
    <cellStyle name="40% - Accent2 2 2 2 2 2" xfId="426" xr:uid="{00000000-0005-0000-0000-0000DB010000}"/>
    <cellStyle name="40% - Accent2 2 2 2 2 2 2" xfId="874" xr:uid="{00000000-0005-0000-0000-0000DC010000}"/>
    <cellStyle name="40% - Accent2 2 2 2 2 3" xfId="650" xr:uid="{00000000-0005-0000-0000-0000DD010000}"/>
    <cellStyle name="40% - Accent2 2 2 2 3" xfId="342" xr:uid="{00000000-0005-0000-0000-0000DE010000}"/>
    <cellStyle name="40% - Accent2 2 2 2 3 2" xfId="790" xr:uid="{00000000-0005-0000-0000-0000DF010000}"/>
    <cellStyle name="40% - Accent2 2 2 2 4" xfId="566" xr:uid="{00000000-0005-0000-0000-0000E0010000}"/>
    <cellStyle name="40% - Accent2 2 2 3" xfId="174" xr:uid="{00000000-0005-0000-0000-0000E1010000}"/>
    <cellStyle name="40% - Accent2 2 2 3 2" xfId="398" xr:uid="{00000000-0005-0000-0000-0000E2010000}"/>
    <cellStyle name="40% - Accent2 2 2 3 2 2" xfId="846" xr:uid="{00000000-0005-0000-0000-0000E3010000}"/>
    <cellStyle name="40% - Accent2 2 2 3 3" xfId="622" xr:uid="{00000000-0005-0000-0000-0000E4010000}"/>
    <cellStyle name="40% - Accent2 2 2 4" xfId="314" xr:uid="{00000000-0005-0000-0000-0000E5010000}"/>
    <cellStyle name="40% - Accent2 2 2 4 2" xfId="762" xr:uid="{00000000-0005-0000-0000-0000E6010000}"/>
    <cellStyle name="40% - Accent2 2 2 5" xfId="538" xr:uid="{00000000-0005-0000-0000-0000E7010000}"/>
    <cellStyle name="40% - Accent2 2 3" xfId="104" xr:uid="{00000000-0005-0000-0000-0000E8010000}"/>
    <cellStyle name="40% - Accent2 2 3 2" xfId="188" xr:uid="{00000000-0005-0000-0000-0000E9010000}"/>
    <cellStyle name="40% - Accent2 2 3 2 2" xfId="412" xr:uid="{00000000-0005-0000-0000-0000EA010000}"/>
    <cellStyle name="40% - Accent2 2 3 2 2 2" xfId="860" xr:uid="{00000000-0005-0000-0000-0000EB010000}"/>
    <cellStyle name="40% - Accent2 2 3 2 3" xfId="636" xr:uid="{00000000-0005-0000-0000-0000EC010000}"/>
    <cellStyle name="40% - Accent2 2 3 3" xfId="328" xr:uid="{00000000-0005-0000-0000-0000ED010000}"/>
    <cellStyle name="40% - Accent2 2 3 3 2" xfId="776" xr:uid="{00000000-0005-0000-0000-0000EE010000}"/>
    <cellStyle name="40% - Accent2 2 3 4" xfId="552" xr:uid="{00000000-0005-0000-0000-0000EF010000}"/>
    <cellStyle name="40% - Accent2 2 4" xfId="160" xr:uid="{00000000-0005-0000-0000-0000F0010000}"/>
    <cellStyle name="40% - Accent2 2 4 2" xfId="384" xr:uid="{00000000-0005-0000-0000-0000F1010000}"/>
    <cellStyle name="40% - Accent2 2 4 2 2" xfId="832" xr:uid="{00000000-0005-0000-0000-0000F2010000}"/>
    <cellStyle name="40% - Accent2 2 4 3" xfId="608" xr:uid="{00000000-0005-0000-0000-0000F3010000}"/>
    <cellStyle name="40% - Accent2 2 5" xfId="300" xr:uid="{00000000-0005-0000-0000-0000F4010000}"/>
    <cellStyle name="40% - Accent2 2 5 2" xfId="748" xr:uid="{00000000-0005-0000-0000-0000F5010000}"/>
    <cellStyle name="40% - Accent2 2 6" xfId="524" xr:uid="{00000000-0005-0000-0000-0000F6010000}"/>
    <cellStyle name="40% - Accent2 3" xfId="132" xr:uid="{00000000-0005-0000-0000-0000F7010000}"/>
    <cellStyle name="40% - Accent2 3 2" xfId="216" xr:uid="{00000000-0005-0000-0000-0000F8010000}"/>
    <cellStyle name="40% - Accent2 3 2 2" xfId="440" xr:uid="{00000000-0005-0000-0000-0000F9010000}"/>
    <cellStyle name="40% - Accent2 3 2 2 2" xfId="888" xr:uid="{00000000-0005-0000-0000-0000FA010000}"/>
    <cellStyle name="40% - Accent2 3 2 3" xfId="664" xr:uid="{00000000-0005-0000-0000-0000FB010000}"/>
    <cellStyle name="40% - Accent2 3 3" xfId="356" xr:uid="{00000000-0005-0000-0000-0000FC010000}"/>
    <cellStyle name="40% - Accent2 3 3 2" xfId="804" xr:uid="{00000000-0005-0000-0000-0000FD010000}"/>
    <cellStyle name="40% - Accent2 3 4" xfId="580" xr:uid="{00000000-0005-0000-0000-0000FE010000}"/>
    <cellStyle name="40% - Accent2 4" xfId="146" xr:uid="{00000000-0005-0000-0000-0000FF010000}"/>
    <cellStyle name="40% - Accent2 4 2" xfId="230" xr:uid="{00000000-0005-0000-0000-000000020000}"/>
    <cellStyle name="40% - Accent2 4 2 2" xfId="454" xr:uid="{00000000-0005-0000-0000-000001020000}"/>
    <cellStyle name="40% - Accent2 4 2 2 2" xfId="902" xr:uid="{00000000-0005-0000-0000-000002020000}"/>
    <cellStyle name="40% - Accent2 4 2 3" xfId="678" xr:uid="{00000000-0005-0000-0000-000003020000}"/>
    <cellStyle name="40% - Accent2 4 3" xfId="370" xr:uid="{00000000-0005-0000-0000-000004020000}"/>
    <cellStyle name="40% - Accent2 4 3 2" xfId="818" xr:uid="{00000000-0005-0000-0000-000005020000}"/>
    <cellStyle name="40% - Accent2 4 4" xfId="594" xr:uid="{00000000-0005-0000-0000-000006020000}"/>
    <cellStyle name="40% - Accent2 5" xfId="244" xr:uid="{00000000-0005-0000-0000-000007020000}"/>
    <cellStyle name="40% - Accent2 5 2" xfId="468" xr:uid="{00000000-0005-0000-0000-000008020000}"/>
    <cellStyle name="40% - Accent2 5 2 2" xfId="916" xr:uid="{00000000-0005-0000-0000-000009020000}"/>
    <cellStyle name="40% - Accent2 5 3" xfId="692" xr:uid="{00000000-0005-0000-0000-00000A020000}"/>
    <cellStyle name="40% - Accent2 6" xfId="258" xr:uid="{00000000-0005-0000-0000-00000B020000}"/>
    <cellStyle name="40% - Accent2 6 2" xfId="482" xr:uid="{00000000-0005-0000-0000-00000C020000}"/>
    <cellStyle name="40% - Accent2 6 2 2" xfId="930" xr:uid="{00000000-0005-0000-0000-00000D020000}"/>
    <cellStyle name="40% - Accent2 6 3" xfId="706" xr:uid="{00000000-0005-0000-0000-00000E020000}"/>
    <cellStyle name="40% - Accent2 7" xfId="272" xr:uid="{00000000-0005-0000-0000-00000F020000}"/>
    <cellStyle name="40% - Accent2 7 2" xfId="496" xr:uid="{00000000-0005-0000-0000-000010020000}"/>
    <cellStyle name="40% - Accent2 7 2 2" xfId="944" xr:uid="{00000000-0005-0000-0000-000011020000}"/>
    <cellStyle name="40% - Accent2 7 3" xfId="720" xr:uid="{00000000-0005-0000-0000-000012020000}"/>
    <cellStyle name="40% - Accent2 8" xfId="286" xr:uid="{00000000-0005-0000-0000-000013020000}"/>
    <cellStyle name="40% - Accent2 8 2" xfId="510" xr:uid="{00000000-0005-0000-0000-000014020000}"/>
    <cellStyle name="40% - Accent2 8 2 2" xfId="958" xr:uid="{00000000-0005-0000-0000-000015020000}"/>
    <cellStyle name="40% - Accent2 8 3" xfId="734" xr:uid="{00000000-0005-0000-0000-000016020000}"/>
    <cellStyle name="40% - Accent2 9" xfId="972" xr:uid="{00000000-0005-0000-0000-000017020000}"/>
    <cellStyle name="40% - Accent3" xfId="28" builtinId="39" customBuiltin="1"/>
    <cellStyle name="40% - Accent3 10" xfId="1009" xr:uid="{00000000-0005-0000-0000-000019020000}"/>
    <cellStyle name="40% - Accent3 2" xfId="71" xr:uid="{00000000-0005-0000-0000-00001A020000}"/>
    <cellStyle name="40% - Accent3 2 2" xfId="92" xr:uid="{00000000-0005-0000-0000-00001B020000}"/>
    <cellStyle name="40% - Accent3 2 2 2" xfId="120" xr:uid="{00000000-0005-0000-0000-00001C020000}"/>
    <cellStyle name="40% - Accent3 2 2 2 2" xfId="204" xr:uid="{00000000-0005-0000-0000-00001D020000}"/>
    <cellStyle name="40% - Accent3 2 2 2 2 2" xfId="428" xr:uid="{00000000-0005-0000-0000-00001E020000}"/>
    <cellStyle name="40% - Accent3 2 2 2 2 2 2" xfId="876" xr:uid="{00000000-0005-0000-0000-00001F020000}"/>
    <cellStyle name="40% - Accent3 2 2 2 2 3" xfId="652" xr:uid="{00000000-0005-0000-0000-000020020000}"/>
    <cellStyle name="40% - Accent3 2 2 2 3" xfId="344" xr:uid="{00000000-0005-0000-0000-000021020000}"/>
    <cellStyle name="40% - Accent3 2 2 2 3 2" xfId="792" xr:uid="{00000000-0005-0000-0000-000022020000}"/>
    <cellStyle name="40% - Accent3 2 2 2 4" xfId="568" xr:uid="{00000000-0005-0000-0000-000023020000}"/>
    <cellStyle name="40% - Accent3 2 2 3" xfId="176" xr:uid="{00000000-0005-0000-0000-000024020000}"/>
    <cellStyle name="40% - Accent3 2 2 3 2" xfId="400" xr:uid="{00000000-0005-0000-0000-000025020000}"/>
    <cellStyle name="40% - Accent3 2 2 3 2 2" xfId="848" xr:uid="{00000000-0005-0000-0000-000026020000}"/>
    <cellStyle name="40% - Accent3 2 2 3 3" xfId="624" xr:uid="{00000000-0005-0000-0000-000027020000}"/>
    <cellStyle name="40% - Accent3 2 2 4" xfId="316" xr:uid="{00000000-0005-0000-0000-000028020000}"/>
    <cellStyle name="40% - Accent3 2 2 4 2" xfId="764" xr:uid="{00000000-0005-0000-0000-000029020000}"/>
    <cellStyle name="40% - Accent3 2 2 5" xfId="540" xr:uid="{00000000-0005-0000-0000-00002A020000}"/>
    <cellStyle name="40% - Accent3 2 3" xfId="106" xr:uid="{00000000-0005-0000-0000-00002B020000}"/>
    <cellStyle name="40% - Accent3 2 3 2" xfId="190" xr:uid="{00000000-0005-0000-0000-00002C020000}"/>
    <cellStyle name="40% - Accent3 2 3 2 2" xfId="414" xr:uid="{00000000-0005-0000-0000-00002D020000}"/>
    <cellStyle name="40% - Accent3 2 3 2 2 2" xfId="862" xr:uid="{00000000-0005-0000-0000-00002E020000}"/>
    <cellStyle name="40% - Accent3 2 3 2 3" xfId="638" xr:uid="{00000000-0005-0000-0000-00002F020000}"/>
    <cellStyle name="40% - Accent3 2 3 3" xfId="330" xr:uid="{00000000-0005-0000-0000-000030020000}"/>
    <cellStyle name="40% - Accent3 2 3 3 2" xfId="778" xr:uid="{00000000-0005-0000-0000-000031020000}"/>
    <cellStyle name="40% - Accent3 2 3 4" xfId="554" xr:uid="{00000000-0005-0000-0000-000032020000}"/>
    <cellStyle name="40% - Accent3 2 4" xfId="162" xr:uid="{00000000-0005-0000-0000-000033020000}"/>
    <cellStyle name="40% - Accent3 2 4 2" xfId="386" xr:uid="{00000000-0005-0000-0000-000034020000}"/>
    <cellStyle name="40% - Accent3 2 4 2 2" xfId="834" xr:uid="{00000000-0005-0000-0000-000035020000}"/>
    <cellStyle name="40% - Accent3 2 4 3" xfId="610" xr:uid="{00000000-0005-0000-0000-000036020000}"/>
    <cellStyle name="40% - Accent3 2 5" xfId="302" xr:uid="{00000000-0005-0000-0000-000037020000}"/>
    <cellStyle name="40% - Accent3 2 5 2" xfId="750" xr:uid="{00000000-0005-0000-0000-000038020000}"/>
    <cellStyle name="40% - Accent3 2 6" xfId="526" xr:uid="{00000000-0005-0000-0000-000039020000}"/>
    <cellStyle name="40% - Accent3 3" xfId="134" xr:uid="{00000000-0005-0000-0000-00003A020000}"/>
    <cellStyle name="40% - Accent3 3 2" xfId="218" xr:uid="{00000000-0005-0000-0000-00003B020000}"/>
    <cellStyle name="40% - Accent3 3 2 2" xfId="442" xr:uid="{00000000-0005-0000-0000-00003C020000}"/>
    <cellStyle name="40% - Accent3 3 2 2 2" xfId="890" xr:uid="{00000000-0005-0000-0000-00003D020000}"/>
    <cellStyle name="40% - Accent3 3 2 3" xfId="666" xr:uid="{00000000-0005-0000-0000-00003E020000}"/>
    <cellStyle name="40% - Accent3 3 3" xfId="358" xr:uid="{00000000-0005-0000-0000-00003F020000}"/>
    <cellStyle name="40% - Accent3 3 3 2" xfId="806" xr:uid="{00000000-0005-0000-0000-000040020000}"/>
    <cellStyle name="40% - Accent3 3 4" xfId="582" xr:uid="{00000000-0005-0000-0000-000041020000}"/>
    <cellStyle name="40% - Accent3 4" xfId="148" xr:uid="{00000000-0005-0000-0000-000042020000}"/>
    <cellStyle name="40% - Accent3 4 2" xfId="232" xr:uid="{00000000-0005-0000-0000-000043020000}"/>
    <cellStyle name="40% - Accent3 4 2 2" xfId="456" xr:uid="{00000000-0005-0000-0000-000044020000}"/>
    <cellStyle name="40% - Accent3 4 2 2 2" xfId="904" xr:uid="{00000000-0005-0000-0000-000045020000}"/>
    <cellStyle name="40% - Accent3 4 2 3" xfId="680" xr:uid="{00000000-0005-0000-0000-000046020000}"/>
    <cellStyle name="40% - Accent3 4 3" xfId="372" xr:uid="{00000000-0005-0000-0000-000047020000}"/>
    <cellStyle name="40% - Accent3 4 3 2" xfId="820" xr:uid="{00000000-0005-0000-0000-000048020000}"/>
    <cellStyle name="40% - Accent3 4 4" xfId="596" xr:uid="{00000000-0005-0000-0000-000049020000}"/>
    <cellStyle name="40% - Accent3 5" xfId="246" xr:uid="{00000000-0005-0000-0000-00004A020000}"/>
    <cellStyle name="40% - Accent3 5 2" xfId="470" xr:uid="{00000000-0005-0000-0000-00004B020000}"/>
    <cellStyle name="40% - Accent3 5 2 2" xfId="918" xr:uid="{00000000-0005-0000-0000-00004C020000}"/>
    <cellStyle name="40% - Accent3 5 3" xfId="694" xr:uid="{00000000-0005-0000-0000-00004D020000}"/>
    <cellStyle name="40% - Accent3 6" xfId="260" xr:uid="{00000000-0005-0000-0000-00004E020000}"/>
    <cellStyle name="40% - Accent3 6 2" xfId="484" xr:uid="{00000000-0005-0000-0000-00004F020000}"/>
    <cellStyle name="40% - Accent3 6 2 2" xfId="932" xr:uid="{00000000-0005-0000-0000-000050020000}"/>
    <cellStyle name="40% - Accent3 6 3" xfId="708" xr:uid="{00000000-0005-0000-0000-000051020000}"/>
    <cellStyle name="40% - Accent3 7" xfId="274" xr:uid="{00000000-0005-0000-0000-000052020000}"/>
    <cellStyle name="40% - Accent3 7 2" xfId="498" xr:uid="{00000000-0005-0000-0000-000053020000}"/>
    <cellStyle name="40% - Accent3 7 2 2" xfId="946" xr:uid="{00000000-0005-0000-0000-000054020000}"/>
    <cellStyle name="40% - Accent3 7 3" xfId="722" xr:uid="{00000000-0005-0000-0000-000055020000}"/>
    <cellStyle name="40% - Accent3 8" xfId="288" xr:uid="{00000000-0005-0000-0000-000056020000}"/>
    <cellStyle name="40% - Accent3 8 2" xfId="512" xr:uid="{00000000-0005-0000-0000-000057020000}"/>
    <cellStyle name="40% - Accent3 8 2 2" xfId="960" xr:uid="{00000000-0005-0000-0000-000058020000}"/>
    <cellStyle name="40% - Accent3 8 3" xfId="736" xr:uid="{00000000-0005-0000-0000-000059020000}"/>
    <cellStyle name="40% - Accent3 9" xfId="974" xr:uid="{00000000-0005-0000-0000-00005A020000}"/>
    <cellStyle name="40% - Accent4" xfId="32" builtinId="43" customBuiltin="1"/>
    <cellStyle name="40% - Accent4 10" xfId="1013" xr:uid="{00000000-0005-0000-0000-00005C020000}"/>
    <cellStyle name="40% - Accent4 2" xfId="75" xr:uid="{00000000-0005-0000-0000-00005D020000}"/>
    <cellStyle name="40% - Accent4 2 2" xfId="94" xr:uid="{00000000-0005-0000-0000-00005E020000}"/>
    <cellStyle name="40% - Accent4 2 2 2" xfId="122" xr:uid="{00000000-0005-0000-0000-00005F020000}"/>
    <cellStyle name="40% - Accent4 2 2 2 2" xfId="206" xr:uid="{00000000-0005-0000-0000-000060020000}"/>
    <cellStyle name="40% - Accent4 2 2 2 2 2" xfId="430" xr:uid="{00000000-0005-0000-0000-000061020000}"/>
    <cellStyle name="40% - Accent4 2 2 2 2 2 2" xfId="878" xr:uid="{00000000-0005-0000-0000-000062020000}"/>
    <cellStyle name="40% - Accent4 2 2 2 2 3" xfId="654" xr:uid="{00000000-0005-0000-0000-000063020000}"/>
    <cellStyle name="40% - Accent4 2 2 2 3" xfId="346" xr:uid="{00000000-0005-0000-0000-000064020000}"/>
    <cellStyle name="40% - Accent4 2 2 2 3 2" xfId="794" xr:uid="{00000000-0005-0000-0000-000065020000}"/>
    <cellStyle name="40% - Accent4 2 2 2 4" xfId="570" xr:uid="{00000000-0005-0000-0000-000066020000}"/>
    <cellStyle name="40% - Accent4 2 2 3" xfId="178" xr:uid="{00000000-0005-0000-0000-000067020000}"/>
    <cellStyle name="40% - Accent4 2 2 3 2" xfId="402" xr:uid="{00000000-0005-0000-0000-000068020000}"/>
    <cellStyle name="40% - Accent4 2 2 3 2 2" xfId="850" xr:uid="{00000000-0005-0000-0000-000069020000}"/>
    <cellStyle name="40% - Accent4 2 2 3 3" xfId="626" xr:uid="{00000000-0005-0000-0000-00006A020000}"/>
    <cellStyle name="40% - Accent4 2 2 4" xfId="318" xr:uid="{00000000-0005-0000-0000-00006B020000}"/>
    <cellStyle name="40% - Accent4 2 2 4 2" xfId="766" xr:uid="{00000000-0005-0000-0000-00006C020000}"/>
    <cellStyle name="40% - Accent4 2 2 5" xfId="542" xr:uid="{00000000-0005-0000-0000-00006D020000}"/>
    <cellStyle name="40% - Accent4 2 3" xfId="108" xr:uid="{00000000-0005-0000-0000-00006E020000}"/>
    <cellStyle name="40% - Accent4 2 3 2" xfId="192" xr:uid="{00000000-0005-0000-0000-00006F020000}"/>
    <cellStyle name="40% - Accent4 2 3 2 2" xfId="416" xr:uid="{00000000-0005-0000-0000-000070020000}"/>
    <cellStyle name="40% - Accent4 2 3 2 2 2" xfId="864" xr:uid="{00000000-0005-0000-0000-000071020000}"/>
    <cellStyle name="40% - Accent4 2 3 2 3" xfId="640" xr:uid="{00000000-0005-0000-0000-000072020000}"/>
    <cellStyle name="40% - Accent4 2 3 3" xfId="332" xr:uid="{00000000-0005-0000-0000-000073020000}"/>
    <cellStyle name="40% - Accent4 2 3 3 2" xfId="780" xr:uid="{00000000-0005-0000-0000-000074020000}"/>
    <cellStyle name="40% - Accent4 2 3 4" xfId="556" xr:uid="{00000000-0005-0000-0000-000075020000}"/>
    <cellStyle name="40% - Accent4 2 4" xfId="164" xr:uid="{00000000-0005-0000-0000-000076020000}"/>
    <cellStyle name="40% - Accent4 2 4 2" xfId="388" xr:uid="{00000000-0005-0000-0000-000077020000}"/>
    <cellStyle name="40% - Accent4 2 4 2 2" xfId="836" xr:uid="{00000000-0005-0000-0000-000078020000}"/>
    <cellStyle name="40% - Accent4 2 4 3" xfId="612" xr:uid="{00000000-0005-0000-0000-000079020000}"/>
    <cellStyle name="40% - Accent4 2 5" xfId="304" xr:uid="{00000000-0005-0000-0000-00007A020000}"/>
    <cellStyle name="40% - Accent4 2 5 2" xfId="752" xr:uid="{00000000-0005-0000-0000-00007B020000}"/>
    <cellStyle name="40% - Accent4 2 6" xfId="528" xr:uid="{00000000-0005-0000-0000-00007C020000}"/>
    <cellStyle name="40% - Accent4 3" xfId="136" xr:uid="{00000000-0005-0000-0000-00007D020000}"/>
    <cellStyle name="40% - Accent4 3 2" xfId="220" xr:uid="{00000000-0005-0000-0000-00007E020000}"/>
    <cellStyle name="40% - Accent4 3 2 2" xfId="444" xr:uid="{00000000-0005-0000-0000-00007F020000}"/>
    <cellStyle name="40% - Accent4 3 2 2 2" xfId="892" xr:uid="{00000000-0005-0000-0000-000080020000}"/>
    <cellStyle name="40% - Accent4 3 2 3" xfId="668" xr:uid="{00000000-0005-0000-0000-000081020000}"/>
    <cellStyle name="40% - Accent4 3 3" xfId="360" xr:uid="{00000000-0005-0000-0000-000082020000}"/>
    <cellStyle name="40% - Accent4 3 3 2" xfId="808" xr:uid="{00000000-0005-0000-0000-000083020000}"/>
    <cellStyle name="40% - Accent4 3 4" xfId="584" xr:uid="{00000000-0005-0000-0000-000084020000}"/>
    <cellStyle name="40% - Accent4 4" xfId="150" xr:uid="{00000000-0005-0000-0000-000085020000}"/>
    <cellStyle name="40% - Accent4 4 2" xfId="234" xr:uid="{00000000-0005-0000-0000-000086020000}"/>
    <cellStyle name="40% - Accent4 4 2 2" xfId="458" xr:uid="{00000000-0005-0000-0000-000087020000}"/>
    <cellStyle name="40% - Accent4 4 2 2 2" xfId="906" xr:uid="{00000000-0005-0000-0000-000088020000}"/>
    <cellStyle name="40% - Accent4 4 2 3" xfId="682" xr:uid="{00000000-0005-0000-0000-000089020000}"/>
    <cellStyle name="40% - Accent4 4 3" xfId="374" xr:uid="{00000000-0005-0000-0000-00008A020000}"/>
    <cellStyle name="40% - Accent4 4 3 2" xfId="822" xr:uid="{00000000-0005-0000-0000-00008B020000}"/>
    <cellStyle name="40% - Accent4 4 4" xfId="598" xr:uid="{00000000-0005-0000-0000-00008C020000}"/>
    <cellStyle name="40% - Accent4 5" xfId="248" xr:uid="{00000000-0005-0000-0000-00008D020000}"/>
    <cellStyle name="40% - Accent4 5 2" xfId="472" xr:uid="{00000000-0005-0000-0000-00008E020000}"/>
    <cellStyle name="40% - Accent4 5 2 2" xfId="920" xr:uid="{00000000-0005-0000-0000-00008F020000}"/>
    <cellStyle name="40% - Accent4 5 3" xfId="696" xr:uid="{00000000-0005-0000-0000-000090020000}"/>
    <cellStyle name="40% - Accent4 6" xfId="262" xr:uid="{00000000-0005-0000-0000-000091020000}"/>
    <cellStyle name="40% - Accent4 6 2" xfId="486" xr:uid="{00000000-0005-0000-0000-000092020000}"/>
    <cellStyle name="40% - Accent4 6 2 2" xfId="934" xr:uid="{00000000-0005-0000-0000-000093020000}"/>
    <cellStyle name="40% - Accent4 6 3" xfId="710" xr:uid="{00000000-0005-0000-0000-000094020000}"/>
    <cellStyle name="40% - Accent4 7" xfId="276" xr:uid="{00000000-0005-0000-0000-000095020000}"/>
    <cellStyle name="40% - Accent4 7 2" xfId="500" xr:uid="{00000000-0005-0000-0000-000096020000}"/>
    <cellStyle name="40% - Accent4 7 2 2" xfId="948" xr:uid="{00000000-0005-0000-0000-000097020000}"/>
    <cellStyle name="40% - Accent4 7 3" xfId="724" xr:uid="{00000000-0005-0000-0000-000098020000}"/>
    <cellStyle name="40% - Accent4 8" xfId="290" xr:uid="{00000000-0005-0000-0000-000099020000}"/>
    <cellStyle name="40% - Accent4 8 2" xfId="514" xr:uid="{00000000-0005-0000-0000-00009A020000}"/>
    <cellStyle name="40% - Accent4 8 2 2" xfId="962" xr:uid="{00000000-0005-0000-0000-00009B020000}"/>
    <cellStyle name="40% - Accent4 8 3" xfId="738" xr:uid="{00000000-0005-0000-0000-00009C020000}"/>
    <cellStyle name="40% - Accent4 9" xfId="976" xr:uid="{00000000-0005-0000-0000-00009D020000}"/>
    <cellStyle name="40% - Accent5" xfId="36" builtinId="47" customBuiltin="1"/>
    <cellStyle name="40% - Accent5 10" xfId="1017" xr:uid="{00000000-0005-0000-0000-00009F020000}"/>
    <cellStyle name="40% - Accent5 2" xfId="79" xr:uid="{00000000-0005-0000-0000-0000A0020000}"/>
    <cellStyle name="40% - Accent5 2 2" xfId="96" xr:uid="{00000000-0005-0000-0000-0000A1020000}"/>
    <cellStyle name="40% - Accent5 2 2 2" xfId="124" xr:uid="{00000000-0005-0000-0000-0000A2020000}"/>
    <cellStyle name="40% - Accent5 2 2 2 2" xfId="208" xr:uid="{00000000-0005-0000-0000-0000A3020000}"/>
    <cellStyle name="40% - Accent5 2 2 2 2 2" xfId="432" xr:uid="{00000000-0005-0000-0000-0000A4020000}"/>
    <cellStyle name="40% - Accent5 2 2 2 2 2 2" xfId="880" xr:uid="{00000000-0005-0000-0000-0000A5020000}"/>
    <cellStyle name="40% - Accent5 2 2 2 2 3" xfId="656" xr:uid="{00000000-0005-0000-0000-0000A6020000}"/>
    <cellStyle name="40% - Accent5 2 2 2 3" xfId="348" xr:uid="{00000000-0005-0000-0000-0000A7020000}"/>
    <cellStyle name="40% - Accent5 2 2 2 3 2" xfId="796" xr:uid="{00000000-0005-0000-0000-0000A8020000}"/>
    <cellStyle name="40% - Accent5 2 2 2 4" xfId="572" xr:uid="{00000000-0005-0000-0000-0000A9020000}"/>
    <cellStyle name="40% - Accent5 2 2 3" xfId="180" xr:uid="{00000000-0005-0000-0000-0000AA020000}"/>
    <cellStyle name="40% - Accent5 2 2 3 2" xfId="404" xr:uid="{00000000-0005-0000-0000-0000AB020000}"/>
    <cellStyle name="40% - Accent5 2 2 3 2 2" xfId="852" xr:uid="{00000000-0005-0000-0000-0000AC020000}"/>
    <cellStyle name="40% - Accent5 2 2 3 3" xfId="628" xr:uid="{00000000-0005-0000-0000-0000AD020000}"/>
    <cellStyle name="40% - Accent5 2 2 4" xfId="320" xr:uid="{00000000-0005-0000-0000-0000AE020000}"/>
    <cellStyle name="40% - Accent5 2 2 4 2" xfId="768" xr:uid="{00000000-0005-0000-0000-0000AF020000}"/>
    <cellStyle name="40% - Accent5 2 2 5" xfId="544" xr:uid="{00000000-0005-0000-0000-0000B0020000}"/>
    <cellStyle name="40% - Accent5 2 3" xfId="110" xr:uid="{00000000-0005-0000-0000-0000B1020000}"/>
    <cellStyle name="40% - Accent5 2 3 2" xfId="194" xr:uid="{00000000-0005-0000-0000-0000B2020000}"/>
    <cellStyle name="40% - Accent5 2 3 2 2" xfId="418" xr:uid="{00000000-0005-0000-0000-0000B3020000}"/>
    <cellStyle name="40% - Accent5 2 3 2 2 2" xfId="866" xr:uid="{00000000-0005-0000-0000-0000B4020000}"/>
    <cellStyle name="40% - Accent5 2 3 2 3" xfId="642" xr:uid="{00000000-0005-0000-0000-0000B5020000}"/>
    <cellStyle name="40% - Accent5 2 3 3" xfId="334" xr:uid="{00000000-0005-0000-0000-0000B6020000}"/>
    <cellStyle name="40% - Accent5 2 3 3 2" xfId="782" xr:uid="{00000000-0005-0000-0000-0000B7020000}"/>
    <cellStyle name="40% - Accent5 2 3 4" xfId="558" xr:uid="{00000000-0005-0000-0000-0000B8020000}"/>
    <cellStyle name="40% - Accent5 2 4" xfId="166" xr:uid="{00000000-0005-0000-0000-0000B9020000}"/>
    <cellStyle name="40% - Accent5 2 4 2" xfId="390" xr:uid="{00000000-0005-0000-0000-0000BA020000}"/>
    <cellStyle name="40% - Accent5 2 4 2 2" xfId="838" xr:uid="{00000000-0005-0000-0000-0000BB020000}"/>
    <cellStyle name="40% - Accent5 2 4 3" xfId="614" xr:uid="{00000000-0005-0000-0000-0000BC020000}"/>
    <cellStyle name="40% - Accent5 2 5" xfId="306" xr:uid="{00000000-0005-0000-0000-0000BD020000}"/>
    <cellStyle name="40% - Accent5 2 5 2" xfId="754" xr:uid="{00000000-0005-0000-0000-0000BE020000}"/>
    <cellStyle name="40% - Accent5 2 6" xfId="530" xr:uid="{00000000-0005-0000-0000-0000BF020000}"/>
    <cellStyle name="40% - Accent5 3" xfId="138" xr:uid="{00000000-0005-0000-0000-0000C0020000}"/>
    <cellStyle name="40% - Accent5 3 2" xfId="222" xr:uid="{00000000-0005-0000-0000-0000C1020000}"/>
    <cellStyle name="40% - Accent5 3 2 2" xfId="446" xr:uid="{00000000-0005-0000-0000-0000C2020000}"/>
    <cellStyle name="40% - Accent5 3 2 2 2" xfId="894" xr:uid="{00000000-0005-0000-0000-0000C3020000}"/>
    <cellStyle name="40% - Accent5 3 2 3" xfId="670" xr:uid="{00000000-0005-0000-0000-0000C4020000}"/>
    <cellStyle name="40% - Accent5 3 3" xfId="362" xr:uid="{00000000-0005-0000-0000-0000C5020000}"/>
    <cellStyle name="40% - Accent5 3 3 2" xfId="810" xr:uid="{00000000-0005-0000-0000-0000C6020000}"/>
    <cellStyle name="40% - Accent5 3 4" xfId="586" xr:uid="{00000000-0005-0000-0000-0000C7020000}"/>
    <cellStyle name="40% - Accent5 4" xfId="152" xr:uid="{00000000-0005-0000-0000-0000C8020000}"/>
    <cellStyle name="40% - Accent5 4 2" xfId="236" xr:uid="{00000000-0005-0000-0000-0000C9020000}"/>
    <cellStyle name="40% - Accent5 4 2 2" xfId="460" xr:uid="{00000000-0005-0000-0000-0000CA020000}"/>
    <cellStyle name="40% - Accent5 4 2 2 2" xfId="908" xr:uid="{00000000-0005-0000-0000-0000CB020000}"/>
    <cellStyle name="40% - Accent5 4 2 3" xfId="684" xr:uid="{00000000-0005-0000-0000-0000CC020000}"/>
    <cellStyle name="40% - Accent5 4 3" xfId="376" xr:uid="{00000000-0005-0000-0000-0000CD020000}"/>
    <cellStyle name="40% - Accent5 4 3 2" xfId="824" xr:uid="{00000000-0005-0000-0000-0000CE020000}"/>
    <cellStyle name="40% - Accent5 4 4" xfId="600" xr:uid="{00000000-0005-0000-0000-0000CF020000}"/>
    <cellStyle name="40% - Accent5 5" xfId="250" xr:uid="{00000000-0005-0000-0000-0000D0020000}"/>
    <cellStyle name="40% - Accent5 5 2" xfId="474" xr:uid="{00000000-0005-0000-0000-0000D1020000}"/>
    <cellStyle name="40% - Accent5 5 2 2" xfId="922" xr:uid="{00000000-0005-0000-0000-0000D2020000}"/>
    <cellStyle name="40% - Accent5 5 3" xfId="698" xr:uid="{00000000-0005-0000-0000-0000D3020000}"/>
    <cellStyle name="40% - Accent5 6" xfId="264" xr:uid="{00000000-0005-0000-0000-0000D4020000}"/>
    <cellStyle name="40% - Accent5 6 2" xfId="488" xr:uid="{00000000-0005-0000-0000-0000D5020000}"/>
    <cellStyle name="40% - Accent5 6 2 2" xfId="936" xr:uid="{00000000-0005-0000-0000-0000D6020000}"/>
    <cellStyle name="40% - Accent5 6 3" xfId="712" xr:uid="{00000000-0005-0000-0000-0000D7020000}"/>
    <cellStyle name="40% - Accent5 7" xfId="278" xr:uid="{00000000-0005-0000-0000-0000D8020000}"/>
    <cellStyle name="40% - Accent5 7 2" xfId="502" xr:uid="{00000000-0005-0000-0000-0000D9020000}"/>
    <cellStyle name="40% - Accent5 7 2 2" xfId="950" xr:uid="{00000000-0005-0000-0000-0000DA020000}"/>
    <cellStyle name="40% - Accent5 7 3" xfId="726" xr:uid="{00000000-0005-0000-0000-0000DB020000}"/>
    <cellStyle name="40% - Accent5 8" xfId="292" xr:uid="{00000000-0005-0000-0000-0000DC020000}"/>
    <cellStyle name="40% - Accent5 8 2" xfId="516" xr:uid="{00000000-0005-0000-0000-0000DD020000}"/>
    <cellStyle name="40% - Accent5 8 2 2" xfId="964" xr:uid="{00000000-0005-0000-0000-0000DE020000}"/>
    <cellStyle name="40% - Accent5 8 3" xfId="740" xr:uid="{00000000-0005-0000-0000-0000DF020000}"/>
    <cellStyle name="40% - Accent5 9" xfId="978" xr:uid="{00000000-0005-0000-0000-0000E0020000}"/>
    <cellStyle name="40% - Accent6" xfId="40" builtinId="51" customBuiltin="1"/>
    <cellStyle name="40% - Accent6 10" xfId="1021" xr:uid="{00000000-0005-0000-0000-0000E2020000}"/>
    <cellStyle name="40% - Accent6 2" xfId="83" xr:uid="{00000000-0005-0000-0000-0000E3020000}"/>
    <cellStyle name="40% - Accent6 2 2" xfId="98" xr:uid="{00000000-0005-0000-0000-0000E4020000}"/>
    <cellStyle name="40% - Accent6 2 2 2" xfId="126" xr:uid="{00000000-0005-0000-0000-0000E5020000}"/>
    <cellStyle name="40% - Accent6 2 2 2 2" xfId="210" xr:uid="{00000000-0005-0000-0000-0000E6020000}"/>
    <cellStyle name="40% - Accent6 2 2 2 2 2" xfId="434" xr:uid="{00000000-0005-0000-0000-0000E7020000}"/>
    <cellStyle name="40% - Accent6 2 2 2 2 2 2" xfId="882" xr:uid="{00000000-0005-0000-0000-0000E8020000}"/>
    <cellStyle name="40% - Accent6 2 2 2 2 3" xfId="658" xr:uid="{00000000-0005-0000-0000-0000E9020000}"/>
    <cellStyle name="40% - Accent6 2 2 2 3" xfId="350" xr:uid="{00000000-0005-0000-0000-0000EA020000}"/>
    <cellStyle name="40% - Accent6 2 2 2 3 2" xfId="798" xr:uid="{00000000-0005-0000-0000-0000EB020000}"/>
    <cellStyle name="40% - Accent6 2 2 2 4" xfId="574" xr:uid="{00000000-0005-0000-0000-0000EC020000}"/>
    <cellStyle name="40% - Accent6 2 2 3" xfId="182" xr:uid="{00000000-0005-0000-0000-0000ED020000}"/>
    <cellStyle name="40% - Accent6 2 2 3 2" xfId="406" xr:uid="{00000000-0005-0000-0000-0000EE020000}"/>
    <cellStyle name="40% - Accent6 2 2 3 2 2" xfId="854" xr:uid="{00000000-0005-0000-0000-0000EF020000}"/>
    <cellStyle name="40% - Accent6 2 2 3 3" xfId="630" xr:uid="{00000000-0005-0000-0000-0000F0020000}"/>
    <cellStyle name="40% - Accent6 2 2 4" xfId="322" xr:uid="{00000000-0005-0000-0000-0000F1020000}"/>
    <cellStyle name="40% - Accent6 2 2 4 2" xfId="770" xr:uid="{00000000-0005-0000-0000-0000F2020000}"/>
    <cellStyle name="40% - Accent6 2 2 5" xfId="546" xr:uid="{00000000-0005-0000-0000-0000F3020000}"/>
    <cellStyle name="40% - Accent6 2 3" xfId="112" xr:uid="{00000000-0005-0000-0000-0000F4020000}"/>
    <cellStyle name="40% - Accent6 2 3 2" xfId="196" xr:uid="{00000000-0005-0000-0000-0000F5020000}"/>
    <cellStyle name="40% - Accent6 2 3 2 2" xfId="420" xr:uid="{00000000-0005-0000-0000-0000F6020000}"/>
    <cellStyle name="40% - Accent6 2 3 2 2 2" xfId="868" xr:uid="{00000000-0005-0000-0000-0000F7020000}"/>
    <cellStyle name="40% - Accent6 2 3 2 3" xfId="644" xr:uid="{00000000-0005-0000-0000-0000F8020000}"/>
    <cellStyle name="40% - Accent6 2 3 3" xfId="336" xr:uid="{00000000-0005-0000-0000-0000F9020000}"/>
    <cellStyle name="40% - Accent6 2 3 3 2" xfId="784" xr:uid="{00000000-0005-0000-0000-0000FA020000}"/>
    <cellStyle name="40% - Accent6 2 3 4" xfId="560" xr:uid="{00000000-0005-0000-0000-0000FB020000}"/>
    <cellStyle name="40% - Accent6 2 4" xfId="168" xr:uid="{00000000-0005-0000-0000-0000FC020000}"/>
    <cellStyle name="40% - Accent6 2 4 2" xfId="392" xr:uid="{00000000-0005-0000-0000-0000FD020000}"/>
    <cellStyle name="40% - Accent6 2 4 2 2" xfId="840" xr:uid="{00000000-0005-0000-0000-0000FE020000}"/>
    <cellStyle name="40% - Accent6 2 4 3" xfId="616" xr:uid="{00000000-0005-0000-0000-0000FF020000}"/>
    <cellStyle name="40% - Accent6 2 5" xfId="308" xr:uid="{00000000-0005-0000-0000-000000030000}"/>
    <cellStyle name="40% - Accent6 2 5 2" xfId="756" xr:uid="{00000000-0005-0000-0000-000001030000}"/>
    <cellStyle name="40% - Accent6 2 6" xfId="532" xr:uid="{00000000-0005-0000-0000-000002030000}"/>
    <cellStyle name="40% - Accent6 3" xfId="140" xr:uid="{00000000-0005-0000-0000-000003030000}"/>
    <cellStyle name="40% - Accent6 3 2" xfId="224" xr:uid="{00000000-0005-0000-0000-000004030000}"/>
    <cellStyle name="40% - Accent6 3 2 2" xfId="448" xr:uid="{00000000-0005-0000-0000-000005030000}"/>
    <cellStyle name="40% - Accent6 3 2 2 2" xfId="896" xr:uid="{00000000-0005-0000-0000-000006030000}"/>
    <cellStyle name="40% - Accent6 3 2 3" xfId="672" xr:uid="{00000000-0005-0000-0000-000007030000}"/>
    <cellStyle name="40% - Accent6 3 3" xfId="364" xr:uid="{00000000-0005-0000-0000-000008030000}"/>
    <cellStyle name="40% - Accent6 3 3 2" xfId="812" xr:uid="{00000000-0005-0000-0000-000009030000}"/>
    <cellStyle name="40% - Accent6 3 4" xfId="588" xr:uid="{00000000-0005-0000-0000-00000A030000}"/>
    <cellStyle name="40% - Accent6 4" xfId="154" xr:uid="{00000000-0005-0000-0000-00000B030000}"/>
    <cellStyle name="40% - Accent6 4 2" xfId="238" xr:uid="{00000000-0005-0000-0000-00000C030000}"/>
    <cellStyle name="40% - Accent6 4 2 2" xfId="462" xr:uid="{00000000-0005-0000-0000-00000D030000}"/>
    <cellStyle name="40% - Accent6 4 2 2 2" xfId="910" xr:uid="{00000000-0005-0000-0000-00000E030000}"/>
    <cellStyle name="40% - Accent6 4 2 3" xfId="686" xr:uid="{00000000-0005-0000-0000-00000F030000}"/>
    <cellStyle name="40% - Accent6 4 3" xfId="378" xr:uid="{00000000-0005-0000-0000-000010030000}"/>
    <cellStyle name="40% - Accent6 4 3 2" xfId="826" xr:uid="{00000000-0005-0000-0000-000011030000}"/>
    <cellStyle name="40% - Accent6 4 4" xfId="602" xr:uid="{00000000-0005-0000-0000-000012030000}"/>
    <cellStyle name="40% - Accent6 5" xfId="252" xr:uid="{00000000-0005-0000-0000-000013030000}"/>
    <cellStyle name="40% - Accent6 5 2" xfId="476" xr:uid="{00000000-0005-0000-0000-000014030000}"/>
    <cellStyle name="40% - Accent6 5 2 2" xfId="924" xr:uid="{00000000-0005-0000-0000-000015030000}"/>
    <cellStyle name="40% - Accent6 5 3" xfId="700" xr:uid="{00000000-0005-0000-0000-000016030000}"/>
    <cellStyle name="40% - Accent6 6" xfId="266" xr:uid="{00000000-0005-0000-0000-000017030000}"/>
    <cellStyle name="40% - Accent6 6 2" xfId="490" xr:uid="{00000000-0005-0000-0000-000018030000}"/>
    <cellStyle name="40% - Accent6 6 2 2" xfId="938" xr:uid="{00000000-0005-0000-0000-000019030000}"/>
    <cellStyle name="40% - Accent6 6 3" xfId="714" xr:uid="{00000000-0005-0000-0000-00001A030000}"/>
    <cellStyle name="40% - Accent6 7" xfId="280" xr:uid="{00000000-0005-0000-0000-00001B030000}"/>
    <cellStyle name="40% - Accent6 7 2" xfId="504" xr:uid="{00000000-0005-0000-0000-00001C030000}"/>
    <cellStyle name="40% - Accent6 7 2 2" xfId="952" xr:uid="{00000000-0005-0000-0000-00001D030000}"/>
    <cellStyle name="40% - Accent6 7 3" xfId="728" xr:uid="{00000000-0005-0000-0000-00001E030000}"/>
    <cellStyle name="40% - Accent6 8" xfId="294" xr:uid="{00000000-0005-0000-0000-00001F030000}"/>
    <cellStyle name="40% - Accent6 8 2" xfId="518" xr:uid="{00000000-0005-0000-0000-000020030000}"/>
    <cellStyle name="40% - Accent6 8 2 2" xfId="966" xr:uid="{00000000-0005-0000-0000-000021030000}"/>
    <cellStyle name="40% - Accent6 8 3" xfId="742" xr:uid="{00000000-0005-0000-0000-000022030000}"/>
    <cellStyle name="40% - Accent6 9" xfId="980" xr:uid="{00000000-0005-0000-0000-000023030000}"/>
    <cellStyle name="60% - Accent1" xfId="21" builtinId="32" customBuiltin="1"/>
    <cellStyle name="60% - Accent1 2" xfId="64" xr:uid="{00000000-0005-0000-0000-000025030000}"/>
    <cellStyle name="60% - Accent1 3" xfId="1002" xr:uid="{00000000-0005-0000-0000-000026030000}"/>
    <cellStyle name="60% - Accent2" xfId="25" builtinId="36" customBuiltin="1"/>
    <cellStyle name="60% - Accent2 2" xfId="68" xr:uid="{00000000-0005-0000-0000-000028030000}"/>
    <cellStyle name="60% - Accent2 3" xfId="1006" xr:uid="{00000000-0005-0000-0000-000029030000}"/>
    <cellStyle name="60% - Accent3" xfId="29" builtinId="40" customBuiltin="1"/>
    <cellStyle name="60% - Accent3 2" xfId="72" xr:uid="{00000000-0005-0000-0000-00002B030000}"/>
    <cellStyle name="60% - Accent3 3" xfId="1010" xr:uid="{00000000-0005-0000-0000-00002C030000}"/>
    <cellStyle name="60% - Accent4" xfId="33" builtinId="44" customBuiltin="1"/>
    <cellStyle name="60% - Accent4 2" xfId="76" xr:uid="{00000000-0005-0000-0000-00002E030000}"/>
    <cellStyle name="60% - Accent4 3" xfId="1014" xr:uid="{00000000-0005-0000-0000-00002F030000}"/>
    <cellStyle name="60% - Accent5" xfId="37" builtinId="48" customBuiltin="1"/>
    <cellStyle name="60% - Accent5 2" xfId="80" xr:uid="{00000000-0005-0000-0000-000031030000}"/>
    <cellStyle name="60% - Accent5 3" xfId="1018" xr:uid="{00000000-0005-0000-0000-000032030000}"/>
    <cellStyle name="60% - Accent6" xfId="41" builtinId="52" customBuiltin="1"/>
    <cellStyle name="60% - Accent6 2" xfId="84" xr:uid="{00000000-0005-0000-0000-000034030000}"/>
    <cellStyle name="60% - Accent6 3" xfId="1022" xr:uid="{00000000-0005-0000-0000-000035030000}"/>
    <cellStyle name="Accent1" xfId="18" builtinId="29" customBuiltin="1"/>
    <cellStyle name="Accent1 2" xfId="61" xr:uid="{00000000-0005-0000-0000-000037030000}"/>
    <cellStyle name="Accent1 3" xfId="999" xr:uid="{00000000-0005-0000-0000-000038030000}"/>
    <cellStyle name="Accent2" xfId="22" builtinId="33" customBuiltin="1"/>
    <cellStyle name="Accent2 2" xfId="65" xr:uid="{00000000-0005-0000-0000-00003A030000}"/>
    <cellStyle name="Accent2 3" xfId="1003" xr:uid="{00000000-0005-0000-0000-00003B030000}"/>
    <cellStyle name="Accent3" xfId="26" builtinId="37" customBuiltin="1"/>
    <cellStyle name="Accent3 2" xfId="69" xr:uid="{00000000-0005-0000-0000-00003D030000}"/>
    <cellStyle name="Accent3 3" xfId="1007" xr:uid="{00000000-0005-0000-0000-00003E030000}"/>
    <cellStyle name="Accent4" xfId="30" builtinId="41" customBuiltin="1"/>
    <cellStyle name="Accent4 2" xfId="73" xr:uid="{00000000-0005-0000-0000-000040030000}"/>
    <cellStyle name="Accent4 3" xfId="1011" xr:uid="{00000000-0005-0000-0000-000041030000}"/>
    <cellStyle name="Accent5" xfId="34" builtinId="45" customBuiltin="1"/>
    <cellStyle name="Accent5 2" xfId="77" xr:uid="{00000000-0005-0000-0000-000043030000}"/>
    <cellStyle name="Accent5 3" xfId="1015" xr:uid="{00000000-0005-0000-0000-000044030000}"/>
    <cellStyle name="Accent6" xfId="38" builtinId="49" customBuiltin="1"/>
    <cellStyle name="Accent6 2" xfId="81" xr:uid="{00000000-0005-0000-0000-000046030000}"/>
    <cellStyle name="Accent6 3" xfId="1019" xr:uid="{00000000-0005-0000-0000-000047030000}"/>
    <cellStyle name="Bad" xfId="7" builtinId="27" customBuiltin="1"/>
    <cellStyle name="Bad 2" xfId="50" xr:uid="{00000000-0005-0000-0000-000049030000}"/>
    <cellStyle name="Bad 3" xfId="988" xr:uid="{00000000-0005-0000-0000-00004A030000}"/>
    <cellStyle name="Calculation" xfId="11" builtinId="22" customBuiltin="1"/>
    <cellStyle name="Calculation 2" xfId="54" xr:uid="{00000000-0005-0000-0000-00004C030000}"/>
    <cellStyle name="Calculation 3" xfId="992" xr:uid="{00000000-0005-0000-0000-00004D030000}"/>
    <cellStyle name="Check Cell" xfId="13" builtinId="23" customBuiltin="1"/>
    <cellStyle name="Check Cell 2" xfId="56" xr:uid="{00000000-0005-0000-0000-00004F030000}"/>
    <cellStyle name="Check Cell 3" xfId="994" xr:uid="{00000000-0005-0000-0000-000050030000}"/>
    <cellStyle name="Comma" xfId="42" builtinId="3"/>
    <cellStyle name="Explanatory Text" xfId="16" builtinId="53" customBuiltin="1"/>
    <cellStyle name="Explanatory Text 2" xfId="59" xr:uid="{00000000-0005-0000-0000-000053030000}"/>
    <cellStyle name="Explanatory Text 3" xfId="997" xr:uid="{00000000-0005-0000-0000-000054030000}"/>
    <cellStyle name="Good" xfId="6" builtinId="26" customBuiltin="1"/>
    <cellStyle name="Good 2" xfId="49" xr:uid="{00000000-0005-0000-0000-000056030000}"/>
    <cellStyle name="Good 3" xfId="987" xr:uid="{00000000-0005-0000-0000-000057030000}"/>
    <cellStyle name="Heading 1" xfId="2" builtinId="16" customBuiltin="1"/>
    <cellStyle name="Heading 1 2" xfId="45" xr:uid="{00000000-0005-0000-0000-000059030000}"/>
    <cellStyle name="Heading 1 3" xfId="983" xr:uid="{00000000-0005-0000-0000-00005A030000}"/>
    <cellStyle name="Heading 2" xfId="3" builtinId="17" customBuiltin="1"/>
    <cellStyle name="Heading 2 2" xfId="46" xr:uid="{00000000-0005-0000-0000-00005C030000}"/>
    <cellStyle name="Heading 2 3" xfId="984" xr:uid="{00000000-0005-0000-0000-00005D030000}"/>
    <cellStyle name="Heading 3" xfId="4" builtinId="18" customBuiltin="1"/>
    <cellStyle name="Heading 3 2" xfId="47" xr:uid="{00000000-0005-0000-0000-00005F030000}"/>
    <cellStyle name="Heading 3 3" xfId="985" xr:uid="{00000000-0005-0000-0000-000060030000}"/>
    <cellStyle name="Heading 4" xfId="5" builtinId="19" customBuiltin="1"/>
    <cellStyle name="Heading 4 2" xfId="48" xr:uid="{00000000-0005-0000-0000-000062030000}"/>
    <cellStyle name="Heading 4 3" xfId="986" xr:uid="{00000000-0005-0000-0000-000063030000}"/>
    <cellStyle name="Input" xfId="9" builtinId="20" customBuiltin="1"/>
    <cellStyle name="Input 2" xfId="52" xr:uid="{00000000-0005-0000-0000-000065030000}"/>
    <cellStyle name="Input 3" xfId="990" xr:uid="{00000000-0005-0000-0000-000066030000}"/>
    <cellStyle name="Linked Cell" xfId="12" builtinId="24" customBuiltin="1"/>
    <cellStyle name="Linked Cell 2" xfId="55" xr:uid="{00000000-0005-0000-0000-000068030000}"/>
    <cellStyle name="Linked Cell 3" xfId="993" xr:uid="{00000000-0005-0000-0000-000069030000}"/>
    <cellStyle name="Neutral" xfId="8" builtinId="28" customBuiltin="1"/>
    <cellStyle name="Neutral 2" xfId="51" xr:uid="{00000000-0005-0000-0000-00006B030000}"/>
    <cellStyle name="Neutral 3" xfId="989" xr:uid="{00000000-0005-0000-0000-00006C030000}"/>
    <cellStyle name="Normal" xfId="0" builtinId="0"/>
    <cellStyle name="Normal 10" xfId="981" xr:uid="{00000000-0005-0000-0000-00006E030000}"/>
    <cellStyle name="Normal 2" xfId="43" xr:uid="{00000000-0005-0000-0000-00006F030000}"/>
    <cellStyle name="Normal 2 2" xfId="85" xr:uid="{00000000-0005-0000-0000-000070030000}"/>
    <cellStyle name="Normal 2 2 2" xfId="113" xr:uid="{00000000-0005-0000-0000-000071030000}"/>
    <cellStyle name="Normal 2 2 2 2" xfId="197" xr:uid="{00000000-0005-0000-0000-000072030000}"/>
    <cellStyle name="Normal 2 2 2 2 2" xfId="421" xr:uid="{00000000-0005-0000-0000-000073030000}"/>
    <cellStyle name="Normal 2 2 2 2 2 2" xfId="869" xr:uid="{00000000-0005-0000-0000-000074030000}"/>
    <cellStyle name="Normal 2 2 2 2 3" xfId="645" xr:uid="{00000000-0005-0000-0000-000075030000}"/>
    <cellStyle name="Normal 2 2 2 3" xfId="337" xr:uid="{00000000-0005-0000-0000-000076030000}"/>
    <cellStyle name="Normal 2 2 2 3 2" xfId="785" xr:uid="{00000000-0005-0000-0000-000077030000}"/>
    <cellStyle name="Normal 2 2 2 4" xfId="561" xr:uid="{00000000-0005-0000-0000-000078030000}"/>
    <cellStyle name="Normal 2 2 3" xfId="169" xr:uid="{00000000-0005-0000-0000-000079030000}"/>
    <cellStyle name="Normal 2 2 3 2" xfId="393" xr:uid="{00000000-0005-0000-0000-00007A030000}"/>
    <cellStyle name="Normal 2 2 3 2 2" xfId="841" xr:uid="{00000000-0005-0000-0000-00007B030000}"/>
    <cellStyle name="Normal 2 2 3 3" xfId="617" xr:uid="{00000000-0005-0000-0000-00007C030000}"/>
    <cellStyle name="Normal 2 2 4" xfId="309" xr:uid="{00000000-0005-0000-0000-00007D030000}"/>
    <cellStyle name="Normal 2 2 4 2" xfId="757" xr:uid="{00000000-0005-0000-0000-00007E030000}"/>
    <cellStyle name="Normal 2 2 5" xfId="533" xr:uid="{00000000-0005-0000-0000-00007F030000}"/>
    <cellStyle name="Normal 2 3" xfId="99" xr:uid="{00000000-0005-0000-0000-000080030000}"/>
    <cellStyle name="Normal 2 3 2" xfId="183" xr:uid="{00000000-0005-0000-0000-000081030000}"/>
    <cellStyle name="Normal 2 3 2 2" xfId="407" xr:uid="{00000000-0005-0000-0000-000082030000}"/>
    <cellStyle name="Normal 2 3 2 2 2" xfId="855" xr:uid="{00000000-0005-0000-0000-000083030000}"/>
    <cellStyle name="Normal 2 3 2 3" xfId="631" xr:uid="{00000000-0005-0000-0000-000084030000}"/>
    <cellStyle name="Normal 2 3 3" xfId="323" xr:uid="{00000000-0005-0000-0000-000085030000}"/>
    <cellStyle name="Normal 2 3 3 2" xfId="771" xr:uid="{00000000-0005-0000-0000-000086030000}"/>
    <cellStyle name="Normal 2 3 4" xfId="547" xr:uid="{00000000-0005-0000-0000-000087030000}"/>
    <cellStyle name="Normal 2 4" xfId="155" xr:uid="{00000000-0005-0000-0000-000088030000}"/>
    <cellStyle name="Normal 2 4 2" xfId="379" xr:uid="{00000000-0005-0000-0000-000089030000}"/>
    <cellStyle name="Normal 2 4 2 2" xfId="827" xr:uid="{00000000-0005-0000-0000-00008A030000}"/>
    <cellStyle name="Normal 2 4 3" xfId="603" xr:uid="{00000000-0005-0000-0000-00008B030000}"/>
    <cellStyle name="Normal 2 5" xfId="295" xr:uid="{00000000-0005-0000-0000-00008C030000}"/>
    <cellStyle name="Normal 2 5 2" xfId="743" xr:uid="{00000000-0005-0000-0000-00008D030000}"/>
    <cellStyle name="Normal 2 6" xfId="519" xr:uid="{00000000-0005-0000-0000-00008E030000}"/>
    <cellStyle name="Normal 3" xfId="127" xr:uid="{00000000-0005-0000-0000-00008F030000}"/>
    <cellStyle name="Normal 3 2" xfId="211" xr:uid="{00000000-0005-0000-0000-000090030000}"/>
    <cellStyle name="Normal 3 2 2" xfId="435" xr:uid="{00000000-0005-0000-0000-000091030000}"/>
    <cellStyle name="Normal 3 2 2 2" xfId="883" xr:uid="{00000000-0005-0000-0000-000092030000}"/>
    <cellStyle name="Normal 3 2 3" xfId="659" xr:uid="{00000000-0005-0000-0000-000093030000}"/>
    <cellStyle name="Normal 3 3" xfId="351" xr:uid="{00000000-0005-0000-0000-000094030000}"/>
    <cellStyle name="Normal 3 3 2" xfId="799" xr:uid="{00000000-0005-0000-0000-000095030000}"/>
    <cellStyle name="Normal 3 4" xfId="575" xr:uid="{00000000-0005-0000-0000-000096030000}"/>
    <cellStyle name="Normal 4" xfId="141" xr:uid="{00000000-0005-0000-0000-000097030000}"/>
    <cellStyle name="Normal 4 2" xfId="225" xr:uid="{00000000-0005-0000-0000-000098030000}"/>
    <cellStyle name="Normal 4 2 2" xfId="449" xr:uid="{00000000-0005-0000-0000-000099030000}"/>
    <cellStyle name="Normal 4 2 2 2" xfId="897" xr:uid="{00000000-0005-0000-0000-00009A030000}"/>
    <cellStyle name="Normal 4 2 3" xfId="673" xr:uid="{00000000-0005-0000-0000-00009B030000}"/>
    <cellStyle name="Normal 4 3" xfId="365" xr:uid="{00000000-0005-0000-0000-00009C030000}"/>
    <cellStyle name="Normal 4 3 2" xfId="813" xr:uid="{00000000-0005-0000-0000-00009D030000}"/>
    <cellStyle name="Normal 4 4" xfId="589" xr:uid="{00000000-0005-0000-0000-00009E030000}"/>
    <cellStyle name="Normal 5" xfId="239" xr:uid="{00000000-0005-0000-0000-00009F030000}"/>
    <cellStyle name="Normal 5 2" xfId="463" xr:uid="{00000000-0005-0000-0000-0000A0030000}"/>
    <cellStyle name="Normal 5 2 2" xfId="911" xr:uid="{00000000-0005-0000-0000-0000A1030000}"/>
    <cellStyle name="Normal 5 3" xfId="687" xr:uid="{00000000-0005-0000-0000-0000A2030000}"/>
    <cellStyle name="Normal 6" xfId="253" xr:uid="{00000000-0005-0000-0000-0000A3030000}"/>
    <cellStyle name="Normal 6 2" xfId="477" xr:uid="{00000000-0005-0000-0000-0000A4030000}"/>
    <cellStyle name="Normal 6 2 2" xfId="925" xr:uid="{00000000-0005-0000-0000-0000A5030000}"/>
    <cellStyle name="Normal 6 3" xfId="701" xr:uid="{00000000-0005-0000-0000-0000A6030000}"/>
    <cellStyle name="Normal 7" xfId="267" xr:uid="{00000000-0005-0000-0000-0000A7030000}"/>
    <cellStyle name="Normal 7 2" xfId="491" xr:uid="{00000000-0005-0000-0000-0000A8030000}"/>
    <cellStyle name="Normal 7 2 2" xfId="939" xr:uid="{00000000-0005-0000-0000-0000A9030000}"/>
    <cellStyle name="Normal 7 3" xfId="715" xr:uid="{00000000-0005-0000-0000-0000AA030000}"/>
    <cellStyle name="Normal 8" xfId="281" xr:uid="{00000000-0005-0000-0000-0000AB030000}"/>
    <cellStyle name="Normal 8 2" xfId="505" xr:uid="{00000000-0005-0000-0000-0000AC030000}"/>
    <cellStyle name="Normal 8 2 2" xfId="953" xr:uid="{00000000-0005-0000-0000-0000AD030000}"/>
    <cellStyle name="Normal 8 3" xfId="729" xr:uid="{00000000-0005-0000-0000-0000AE030000}"/>
    <cellStyle name="Normal 9" xfId="967" xr:uid="{00000000-0005-0000-0000-0000AF030000}"/>
    <cellStyle name="Note" xfId="15" builtinId="10" customBuiltin="1"/>
    <cellStyle name="Note 10" xfId="996" xr:uid="{00000000-0005-0000-0000-0000B1030000}"/>
    <cellStyle name="Note 2" xfId="58" xr:uid="{00000000-0005-0000-0000-0000B2030000}"/>
    <cellStyle name="Note 2 2" xfId="86" xr:uid="{00000000-0005-0000-0000-0000B3030000}"/>
    <cellStyle name="Note 2 2 2" xfId="114" xr:uid="{00000000-0005-0000-0000-0000B4030000}"/>
    <cellStyle name="Note 2 2 2 2" xfId="198" xr:uid="{00000000-0005-0000-0000-0000B5030000}"/>
    <cellStyle name="Note 2 2 2 2 2" xfId="422" xr:uid="{00000000-0005-0000-0000-0000B6030000}"/>
    <cellStyle name="Note 2 2 2 2 2 2" xfId="870" xr:uid="{00000000-0005-0000-0000-0000B7030000}"/>
    <cellStyle name="Note 2 2 2 2 3" xfId="646" xr:uid="{00000000-0005-0000-0000-0000B8030000}"/>
    <cellStyle name="Note 2 2 2 3" xfId="338" xr:uid="{00000000-0005-0000-0000-0000B9030000}"/>
    <cellStyle name="Note 2 2 2 3 2" xfId="786" xr:uid="{00000000-0005-0000-0000-0000BA030000}"/>
    <cellStyle name="Note 2 2 2 4" xfId="562" xr:uid="{00000000-0005-0000-0000-0000BB030000}"/>
    <cellStyle name="Note 2 2 3" xfId="170" xr:uid="{00000000-0005-0000-0000-0000BC030000}"/>
    <cellStyle name="Note 2 2 3 2" xfId="394" xr:uid="{00000000-0005-0000-0000-0000BD030000}"/>
    <cellStyle name="Note 2 2 3 2 2" xfId="842" xr:uid="{00000000-0005-0000-0000-0000BE030000}"/>
    <cellStyle name="Note 2 2 3 3" xfId="618" xr:uid="{00000000-0005-0000-0000-0000BF030000}"/>
    <cellStyle name="Note 2 2 4" xfId="310" xr:uid="{00000000-0005-0000-0000-0000C0030000}"/>
    <cellStyle name="Note 2 2 4 2" xfId="758" xr:uid="{00000000-0005-0000-0000-0000C1030000}"/>
    <cellStyle name="Note 2 2 5" xfId="534" xr:uid="{00000000-0005-0000-0000-0000C2030000}"/>
    <cellStyle name="Note 2 3" xfId="100" xr:uid="{00000000-0005-0000-0000-0000C3030000}"/>
    <cellStyle name="Note 2 3 2" xfId="184" xr:uid="{00000000-0005-0000-0000-0000C4030000}"/>
    <cellStyle name="Note 2 3 2 2" xfId="408" xr:uid="{00000000-0005-0000-0000-0000C5030000}"/>
    <cellStyle name="Note 2 3 2 2 2" xfId="856" xr:uid="{00000000-0005-0000-0000-0000C6030000}"/>
    <cellStyle name="Note 2 3 2 3" xfId="632" xr:uid="{00000000-0005-0000-0000-0000C7030000}"/>
    <cellStyle name="Note 2 3 3" xfId="324" xr:uid="{00000000-0005-0000-0000-0000C8030000}"/>
    <cellStyle name="Note 2 3 3 2" xfId="772" xr:uid="{00000000-0005-0000-0000-0000C9030000}"/>
    <cellStyle name="Note 2 3 4" xfId="548" xr:uid="{00000000-0005-0000-0000-0000CA030000}"/>
    <cellStyle name="Note 2 4" xfId="156" xr:uid="{00000000-0005-0000-0000-0000CB030000}"/>
    <cellStyle name="Note 2 4 2" xfId="380" xr:uid="{00000000-0005-0000-0000-0000CC030000}"/>
    <cellStyle name="Note 2 4 2 2" xfId="828" xr:uid="{00000000-0005-0000-0000-0000CD030000}"/>
    <cellStyle name="Note 2 4 3" xfId="604" xr:uid="{00000000-0005-0000-0000-0000CE030000}"/>
    <cellStyle name="Note 2 5" xfId="296" xr:uid="{00000000-0005-0000-0000-0000CF030000}"/>
    <cellStyle name="Note 2 5 2" xfId="744" xr:uid="{00000000-0005-0000-0000-0000D0030000}"/>
    <cellStyle name="Note 2 6" xfId="520" xr:uid="{00000000-0005-0000-0000-0000D1030000}"/>
    <cellStyle name="Note 3" xfId="128" xr:uid="{00000000-0005-0000-0000-0000D2030000}"/>
    <cellStyle name="Note 3 2" xfId="212" xr:uid="{00000000-0005-0000-0000-0000D3030000}"/>
    <cellStyle name="Note 3 2 2" xfId="436" xr:uid="{00000000-0005-0000-0000-0000D4030000}"/>
    <cellStyle name="Note 3 2 2 2" xfId="884" xr:uid="{00000000-0005-0000-0000-0000D5030000}"/>
    <cellStyle name="Note 3 2 3" xfId="660" xr:uid="{00000000-0005-0000-0000-0000D6030000}"/>
    <cellStyle name="Note 3 3" xfId="352" xr:uid="{00000000-0005-0000-0000-0000D7030000}"/>
    <cellStyle name="Note 3 3 2" xfId="800" xr:uid="{00000000-0005-0000-0000-0000D8030000}"/>
    <cellStyle name="Note 3 4" xfId="576" xr:uid="{00000000-0005-0000-0000-0000D9030000}"/>
    <cellStyle name="Note 4" xfId="142" xr:uid="{00000000-0005-0000-0000-0000DA030000}"/>
    <cellStyle name="Note 4 2" xfId="226" xr:uid="{00000000-0005-0000-0000-0000DB030000}"/>
    <cellStyle name="Note 4 2 2" xfId="450" xr:uid="{00000000-0005-0000-0000-0000DC030000}"/>
    <cellStyle name="Note 4 2 2 2" xfId="898" xr:uid="{00000000-0005-0000-0000-0000DD030000}"/>
    <cellStyle name="Note 4 2 3" xfId="674" xr:uid="{00000000-0005-0000-0000-0000DE030000}"/>
    <cellStyle name="Note 4 3" xfId="366" xr:uid="{00000000-0005-0000-0000-0000DF030000}"/>
    <cellStyle name="Note 4 3 2" xfId="814" xr:uid="{00000000-0005-0000-0000-0000E0030000}"/>
    <cellStyle name="Note 4 4" xfId="590" xr:uid="{00000000-0005-0000-0000-0000E1030000}"/>
    <cellStyle name="Note 5" xfId="240" xr:uid="{00000000-0005-0000-0000-0000E2030000}"/>
    <cellStyle name="Note 5 2" xfId="464" xr:uid="{00000000-0005-0000-0000-0000E3030000}"/>
    <cellStyle name="Note 5 2 2" xfId="912" xr:uid="{00000000-0005-0000-0000-0000E4030000}"/>
    <cellStyle name="Note 5 3" xfId="688" xr:uid="{00000000-0005-0000-0000-0000E5030000}"/>
    <cellStyle name="Note 6" xfId="254" xr:uid="{00000000-0005-0000-0000-0000E6030000}"/>
    <cellStyle name="Note 6 2" xfId="478" xr:uid="{00000000-0005-0000-0000-0000E7030000}"/>
    <cellStyle name="Note 6 2 2" xfId="926" xr:uid="{00000000-0005-0000-0000-0000E8030000}"/>
    <cellStyle name="Note 6 3" xfId="702" xr:uid="{00000000-0005-0000-0000-0000E9030000}"/>
    <cellStyle name="Note 7" xfId="268" xr:uid="{00000000-0005-0000-0000-0000EA030000}"/>
    <cellStyle name="Note 7 2" xfId="492" xr:uid="{00000000-0005-0000-0000-0000EB030000}"/>
    <cellStyle name="Note 7 2 2" xfId="940" xr:uid="{00000000-0005-0000-0000-0000EC030000}"/>
    <cellStyle name="Note 7 3" xfId="716" xr:uid="{00000000-0005-0000-0000-0000ED030000}"/>
    <cellStyle name="Note 8" xfId="282" xr:uid="{00000000-0005-0000-0000-0000EE030000}"/>
    <cellStyle name="Note 8 2" xfId="506" xr:uid="{00000000-0005-0000-0000-0000EF030000}"/>
    <cellStyle name="Note 8 2 2" xfId="954" xr:uid="{00000000-0005-0000-0000-0000F0030000}"/>
    <cellStyle name="Note 8 3" xfId="730" xr:uid="{00000000-0005-0000-0000-0000F1030000}"/>
    <cellStyle name="Note 9" xfId="968" xr:uid="{00000000-0005-0000-0000-0000F2030000}"/>
    <cellStyle name="Output" xfId="10" builtinId="21" customBuiltin="1"/>
    <cellStyle name="Output 2" xfId="53" xr:uid="{00000000-0005-0000-0000-0000F4030000}"/>
    <cellStyle name="Output 3" xfId="991" xr:uid="{00000000-0005-0000-0000-0000F5030000}"/>
    <cellStyle name="Title" xfId="1" builtinId="15" customBuiltin="1"/>
    <cellStyle name="Title 2" xfId="44" xr:uid="{00000000-0005-0000-0000-0000F7030000}"/>
    <cellStyle name="Title 3" xfId="982" xr:uid="{00000000-0005-0000-0000-0000F8030000}"/>
    <cellStyle name="Total" xfId="17" builtinId="25" customBuiltin="1"/>
    <cellStyle name="Total 2" xfId="60" xr:uid="{00000000-0005-0000-0000-0000FA030000}"/>
    <cellStyle name="Total 3" xfId="998" xr:uid="{00000000-0005-0000-0000-0000FB030000}"/>
    <cellStyle name="Warning Text" xfId="14" builtinId="11" customBuiltin="1"/>
    <cellStyle name="Warning Text 2" xfId="57" xr:uid="{00000000-0005-0000-0000-0000FD030000}"/>
    <cellStyle name="Warning Text 3" xfId="995" xr:uid="{00000000-0005-0000-0000-0000FE030000}"/>
  </cellStyles>
  <dxfs count="2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38</xdr:row>
      <xdr:rowOff>0</xdr:rowOff>
    </xdr:from>
    <xdr:to>
      <xdr:col>4</xdr:col>
      <xdr:colOff>102044</xdr:colOff>
      <xdr:row>67</xdr:row>
      <xdr:rowOff>71773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280F19-AB80-DAAE-4DDF-E8395FCD2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134225"/>
          <a:ext cx="6609524" cy="493333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7</xdr:col>
      <xdr:colOff>608776</xdr:colOff>
      <xdr:row>70</xdr:row>
      <xdr:rowOff>140282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271423-80B8-F10C-C229-5449D3B0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24600" y="7134225"/>
          <a:ext cx="6590476" cy="5504762"/>
        </a:xfrm>
        <a:prstGeom prst="rect">
          <a:avLst/>
        </a:prstGeom>
      </xdr:spPr>
    </xdr:pic>
    <xdr:clientData/>
  </xdr:twoCellAnchor>
  <xdr:twoCellAnchor editAs="oneCell">
    <xdr:from>
      <xdr:col>10</xdr:col>
      <xdr:colOff>971550</xdr:colOff>
      <xdr:row>38</xdr:row>
      <xdr:rowOff>38100</xdr:rowOff>
    </xdr:from>
    <xdr:to>
      <xdr:col>15</xdr:col>
      <xdr:colOff>635515</xdr:colOff>
      <xdr:row>70</xdr:row>
      <xdr:rowOff>149810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6FB3EA3E-F09A-D072-12CA-28260A4D6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001625" y="7172325"/>
          <a:ext cx="6038095" cy="54761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0</xdr:rowOff>
    </xdr:from>
    <xdr:to>
      <xdr:col>2</xdr:col>
      <xdr:colOff>113965</xdr:colOff>
      <xdr:row>22</xdr:row>
      <xdr:rowOff>76069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CDE123-BEDA-35C7-733F-5B0BF8C7C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76600"/>
          <a:ext cx="2676190" cy="1047619"/>
        </a:xfrm>
        <a:prstGeom prst="rect">
          <a:avLst/>
        </a:prstGeom>
      </xdr:spPr>
    </xdr:pic>
    <xdr:clientData/>
  </xdr:twoCellAnchor>
  <xdr:twoCellAnchor editAs="oneCell">
    <xdr:from>
      <xdr:col>2</xdr:col>
      <xdr:colOff>123825</xdr:colOff>
      <xdr:row>16</xdr:row>
      <xdr:rowOff>1</xdr:rowOff>
    </xdr:from>
    <xdr:to>
      <xdr:col>4</xdr:col>
      <xdr:colOff>756165</xdr:colOff>
      <xdr:row>31</xdr:row>
      <xdr:rowOff>104776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1F57F06-0DE2-2342-3DBD-BDB8D81C7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86050" y="3276601"/>
          <a:ext cx="2918340" cy="2533650"/>
        </a:xfrm>
        <a:prstGeom prst="rect">
          <a:avLst/>
        </a:prstGeom>
      </xdr:spPr>
    </xdr:pic>
    <xdr:clientData/>
  </xdr:twoCellAnchor>
  <xdr:twoCellAnchor editAs="oneCell">
    <xdr:from>
      <xdr:col>4</xdr:col>
      <xdr:colOff>1057275</xdr:colOff>
      <xdr:row>16</xdr:row>
      <xdr:rowOff>47625</xdr:rowOff>
    </xdr:from>
    <xdr:to>
      <xdr:col>7</xdr:col>
      <xdr:colOff>310934</xdr:colOff>
      <xdr:row>38</xdr:row>
      <xdr:rowOff>123825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858310E-6E3E-0A93-0B8A-98BFDB266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05500" y="3324225"/>
          <a:ext cx="2682659" cy="3638550"/>
        </a:xfrm>
        <a:prstGeom prst="rect">
          <a:avLst/>
        </a:prstGeom>
      </xdr:spPr>
    </xdr:pic>
    <xdr:clientData/>
  </xdr:twoCellAnchor>
  <xdr:twoCellAnchor editAs="oneCell">
    <xdr:from>
      <xdr:col>7</xdr:col>
      <xdr:colOff>581026</xdr:colOff>
      <xdr:row>16</xdr:row>
      <xdr:rowOff>85725</xdr:rowOff>
    </xdr:from>
    <xdr:to>
      <xdr:col>9</xdr:col>
      <xdr:colOff>235614</xdr:colOff>
      <xdr:row>46</xdr:row>
      <xdr:rowOff>133350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608260E-5015-A807-7C99-40A2E4F55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58251" y="3362325"/>
          <a:ext cx="1940588" cy="4905375"/>
        </a:xfrm>
        <a:prstGeom prst="rect">
          <a:avLst/>
        </a:prstGeom>
      </xdr:spPr>
    </xdr:pic>
    <xdr:clientData/>
  </xdr:twoCellAnchor>
  <xdr:twoCellAnchor editAs="oneCell">
    <xdr:from>
      <xdr:col>9</xdr:col>
      <xdr:colOff>495300</xdr:colOff>
      <xdr:row>16</xdr:row>
      <xdr:rowOff>104775</xdr:rowOff>
    </xdr:from>
    <xdr:to>
      <xdr:col>12</xdr:col>
      <xdr:colOff>606425</xdr:colOff>
      <xdr:row>35</xdr:row>
      <xdr:rowOff>76200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A7E899B-B91D-0DA7-C180-1205C67DB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58525" y="3381375"/>
          <a:ext cx="3540125" cy="304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876300</xdr:colOff>
      <xdr:row>17</xdr:row>
      <xdr:rowOff>76200</xdr:rowOff>
    </xdr:from>
    <xdr:to>
      <xdr:col>16</xdr:col>
      <xdr:colOff>66205</xdr:colOff>
      <xdr:row>31</xdr:row>
      <xdr:rowOff>152107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16B5EBA-E574-78CA-7F56-D3BCE1CAB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868525" y="3514725"/>
          <a:ext cx="3761905" cy="234285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ekkos.sharepoint.com/sites/GekFinance/Bank/CreditCards/2026/Masterfile%20-%20Credit%20Card%20Employees%20Upload%20-%20Pronto.xlsx" TargetMode="External"/><Relationship Id="rId1" Type="http://schemas.openxmlformats.org/officeDocument/2006/relationships/externalLinkPath" Target="Masterfile%20-%20Credit%20Card%20Employees%20Upload%20-%20Pron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eader"/>
      <sheetName val="S Baker"/>
      <sheetName val="S Barclay"/>
      <sheetName val="T Bell"/>
      <sheetName val="M Brown"/>
      <sheetName val="M Conroy"/>
      <sheetName val="G Delemontex"/>
      <sheetName val="M Donadio"/>
      <sheetName val="L DUva"/>
      <sheetName val="A Edmondston"/>
      <sheetName val="M Gort"/>
      <sheetName val="N Grigg"/>
      <sheetName val="T Hughes"/>
      <sheetName val="S Jenkins"/>
      <sheetName val="A Lanyon"/>
      <sheetName val="E Lewis-Gray"/>
      <sheetName val="S Lewis-Gray"/>
      <sheetName val="W Lodge"/>
      <sheetName val="S McLaughlin"/>
      <sheetName val="M Ntombela"/>
      <sheetName val="D OHalloran"/>
      <sheetName val="M Prendergast"/>
      <sheetName val="K Rouhan"/>
      <sheetName val="C Torney"/>
      <sheetName val="M Trenorden"/>
      <sheetName val="B Tuncks"/>
      <sheetName val="L VanKollenburg"/>
      <sheetName val="B Wraith"/>
      <sheetName val="N Zhang"/>
      <sheetName val="Full Data"/>
      <sheetName val="Pronto layout"/>
    </sheetNames>
    <sheetDataSet>
      <sheetData sheetId="0">
        <row r="4">
          <cell r="E4" t="str">
            <v>MC-250816</v>
          </cell>
        </row>
        <row r="5">
          <cell r="E5">
            <v>45885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6"/>
  <sheetViews>
    <sheetView workbookViewId="0">
      <selection activeCell="F5" sqref="F5"/>
    </sheetView>
  </sheetViews>
  <sheetFormatPr defaultRowHeight="12.75" x14ac:dyDescent="0.2"/>
  <cols>
    <col min="1" max="1" width="22.85546875" customWidth="1"/>
    <col min="2" max="2" width="10.42578125" style="2" customWidth="1"/>
    <col min="3" max="3" width="11.5703125" style="2" customWidth="1"/>
    <col min="4" max="4" width="14.140625" customWidth="1"/>
    <col min="5" max="5" width="63.140625" style="1" customWidth="1"/>
  </cols>
  <sheetData>
    <row r="2" spans="4:5" ht="21.95" customHeight="1" x14ac:dyDescent="0.2">
      <c r="D2" s="4" t="s">
        <v>0</v>
      </c>
      <c r="E2" s="5">
        <v>20250816</v>
      </c>
    </row>
    <row r="3" spans="4:5" ht="21.95" customHeight="1" x14ac:dyDescent="0.2">
      <c r="D3" s="4" t="s">
        <v>1</v>
      </c>
      <c r="E3" s="6" t="s">
        <v>2</v>
      </c>
    </row>
    <row r="4" spans="4:5" ht="21.95" customHeight="1" x14ac:dyDescent="0.2">
      <c r="D4" s="4" t="s">
        <v>3</v>
      </c>
      <c r="E4" s="6" t="s">
        <v>4</v>
      </c>
    </row>
    <row r="5" spans="4:5" ht="21.95" customHeight="1" x14ac:dyDescent="0.2">
      <c r="D5" s="4" t="s">
        <v>5</v>
      </c>
      <c r="E5" s="7">
        <v>45885</v>
      </c>
    </row>
    <row r="6" spans="4:5" ht="21.95" customHeight="1" x14ac:dyDescent="0.2">
      <c r="D6" s="4" t="s">
        <v>6</v>
      </c>
      <c r="E6" s="7">
        <f>E5</f>
        <v>45885</v>
      </c>
    </row>
    <row r="13" spans="4:5" ht="26.25" x14ac:dyDescent="0.4">
      <c r="E13" s="20" t="s">
        <v>7</v>
      </c>
    </row>
    <row r="15" spans="4:5" x14ac:dyDescent="0.2">
      <c r="D15" t="s">
        <v>8</v>
      </c>
      <c r="E15" s="1" t="s">
        <v>9</v>
      </c>
    </row>
    <row r="16" spans="4:5" x14ac:dyDescent="0.2">
      <c r="D16" t="s">
        <v>10</v>
      </c>
      <c r="E16" s="1" t="s">
        <v>11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79998168889431442"/>
  </sheetPr>
  <dimension ref="A1:R55"/>
  <sheetViews>
    <sheetView topLeftCell="C6" workbookViewId="0">
      <selection activeCell="F29" sqref="F29"/>
    </sheetView>
  </sheetViews>
  <sheetFormatPr defaultRowHeight="12.75" x14ac:dyDescent="0.2"/>
  <cols>
    <col min="1" max="1" width="17.42578125" style="3" customWidth="1"/>
    <col min="2" max="2" width="47.42578125" customWidth="1"/>
    <col min="3" max="3" width="13.5703125" customWidth="1"/>
    <col min="4" max="4" width="16.42578125" customWidth="1"/>
    <col min="5" max="5" width="53.140625" bestFit="1" customWidth="1"/>
    <col min="6" max="6" width="25.5703125" bestFit="1" customWidth="1"/>
    <col min="7" max="7" width="13.42578125" bestFit="1" customWidth="1"/>
    <col min="8" max="8" width="15.5703125" customWidth="1"/>
    <col min="9" max="9" width="2.42578125" customWidth="1"/>
    <col min="10" max="10" width="21.85546875" bestFit="1" customWidth="1"/>
    <col min="11" max="11" width="44.140625" customWidth="1"/>
    <col min="12" max="12" width="4" bestFit="1" customWidth="1"/>
    <col min="15" max="15" width="21.42578125" customWidth="1"/>
    <col min="16" max="16" width="15.85546875" customWidth="1"/>
  </cols>
  <sheetData>
    <row r="1" spans="1:18" ht="12" customHeight="1" x14ac:dyDescent="0.2">
      <c r="A1" s="118" t="s">
        <v>12</v>
      </c>
      <c r="B1" s="119"/>
      <c r="C1" s="119"/>
      <c r="D1" s="119"/>
      <c r="E1" s="119"/>
      <c r="F1" s="119"/>
      <c r="G1" s="119"/>
      <c r="H1" s="119"/>
      <c r="J1" s="113" t="s">
        <v>13</v>
      </c>
      <c r="K1" s="113"/>
      <c r="L1" s="113"/>
      <c r="M1" s="113"/>
      <c r="N1" s="113"/>
      <c r="O1" s="113"/>
      <c r="P1" s="113"/>
    </row>
    <row r="2" spans="1:18" ht="12" customHeight="1" x14ac:dyDescent="0.2">
      <c r="A2" s="118"/>
      <c r="B2" s="119"/>
      <c r="C2" s="119"/>
      <c r="D2" s="119"/>
      <c r="E2" s="119"/>
      <c r="F2" s="119"/>
      <c r="G2" s="119"/>
      <c r="H2" s="119"/>
      <c r="J2" s="74" t="s">
        <v>508</v>
      </c>
      <c r="K2" s="88">
        <v>3402.27</v>
      </c>
      <c r="L2" s="74"/>
      <c r="M2" s="74"/>
      <c r="N2" s="74"/>
      <c r="O2" s="74"/>
      <c r="P2" s="74"/>
    </row>
    <row r="3" spans="1:18" ht="12" customHeight="1" x14ac:dyDescent="0.2">
      <c r="A3" s="118"/>
      <c r="B3" s="119"/>
      <c r="C3" s="119"/>
      <c r="D3" s="119"/>
      <c r="E3" s="119"/>
      <c r="F3" s="119"/>
      <c r="G3" s="119"/>
      <c r="H3" s="119"/>
      <c r="J3" t="s">
        <v>509</v>
      </c>
      <c r="K3" s="21">
        <f>SUM(M9:M144)</f>
        <v>3402.27</v>
      </c>
      <c r="L3" s="74"/>
      <c r="M3" s="74"/>
      <c r="N3" s="74"/>
      <c r="O3" s="74"/>
      <c r="P3" s="74"/>
    </row>
    <row r="4" spans="1:18" ht="12" customHeight="1" x14ac:dyDescent="0.2">
      <c r="A4" s="114" t="s">
        <v>41</v>
      </c>
      <c r="B4" s="113"/>
      <c r="C4" s="113"/>
      <c r="D4" s="113"/>
      <c r="E4" s="113"/>
      <c r="F4" s="113"/>
      <c r="G4" s="113"/>
      <c r="H4" s="113"/>
      <c r="J4" t="s">
        <v>510</v>
      </c>
      <c r="K4" s="21">
        <f>K2-K3</f>
        <v>0</v>
      </c>
    </row>
    <row r="5" spans="1:18" ht="12" customHeight="1" x14ac:dyDescent="0.2">
      <c r="A5" s="9" t="s">
        <v>3</v>
      </c>
      <c r="B5" s="10" t="str">
        <f>CONCATENATE(Header!$E$4,"Bell")</f>
        <v>MC-250816Bell</v>
      </c>
      <c r="C5" s="8"/>
      <c r="D5" s="8"/>
      <c r="E5" s="8"/>
      <c r="J5" s="115" t="s">
        <v>15</v>
      </c>
      <c r="K5" s="115"/>
      <c r="L5" s="115"/>
      <c r="M5" s="115"/>
      <c r="N5" s="115"/>
      <c r="O5" s="115"/>
      <c r="P5" s="115"/>
      <c r="Q5" s="115"/>
    </row>
    <row r="6" spans="1:18" ht="12" customHeight="1" x14ac:dyDescent="0.2">
      <c r="A6" s="9" t="s">
        <v>5</v>
      </c>
      <c r="B6" s="12">
        <f>Header!$E$5</f>
        <v>45885</v>
      </c>
      <c r="C6" s="8"/>
      <c r="D6" s="8"/>
      <c r="E6" s="116" t="s">
        <v>16</v>
      </c>
      <c r="F6" s="116"/>
      <c r="G6" s="116"/>
      <c r="H6" s="116"/>
    </row>
    <row r="7" spans="1:18" ht="12" customHeight="1" thickBot="1" x14ac:dyDescent="0.25">
      <c r="A7" s="11"/>
      <c r="B7" s="8"/>
      <c r="C7" s="8"/>
      <c r="D7" s="8"/>
      <c r="E7" s="117"/>
      <c r="F7" s="117"/>
      <c r="G7" s="117"/>
      <c r="H7" s="117"/>
    </row>
    <row r="8" spans="1:18" ht="45.75" thickBot="1" x14ac:dyDescent="0.25">
      <c r="A8" s="32" t="s">
        <v>17</v>
      </c>
      <c r="B8" s="33" t="s">
        <v>18</v>
      </c>
      <c r="C8" s="33" t="s">
        <v>19</v>
      </c>
      <c r="D8" s="33" t="s">
        <v>20</v>
      </c>
      <c r="E8" s="19" t="s">
        <v>36</v>
      </c>
      <c r="F8" s="16" t="s">
        <v>22</v>
      </c>
      <c r="G8" s="17" t="s">
        <v>23</v>
      </c>
      <c r="H8" s="18" t="s">
        <v>24</v>
      </c>
      <c r="J8" s="32" t="s">
        <v>25</v>
      </c>
      <c r="K8" s="33" t="s">
        <v>3</v>
      </c>
      <c r="L8" s="33" t="s">
        <v>26</v>
      </c>
      <c r="M8" s="33" t="s">
        <v>27</v>
      </c>
      <c r="N8" s="34" t="s">
        <v>28</v>
      </c>
      <c r="O8" s="34" t="s">
        <v>29</v>
      </c>
      <c r="P8" s="34" t="s">
        <v>30</v>
      </c>
      <c r="R8" s="90" t="s">
        <v>511</v>
      </c>
    </row>
    <row r="9" spans="1:18" ht="15.75" thickBot="1" x14ac:dyDescent="0.25">
      <c r="A9" s="45">
        <v>45877</v>
      </c>
      <c r="B9" s="45" t="s">
        <v>50</v>
      </c>
      <c r="C9" s="85">
        <v>108</v>
      </c>
      <c r="D9" s="46"/>
      <c r="E9" s="14" t="s">
        <v>469</v>
      </c>
      <c r="F9" s="71" t="s">
        <v>71</v>
      </c>
      <c r="G9" s="14" t="s">
        <v>494</v>
      </c>
      <c r="H9" s="14"/>
      <c r="J9" s="51" t="str">
        <f t="shared" ref="J9:J55" si="0">IF(F9&gt;0,(_xlfn.CONCAT(F9,".",G9)),H9)</f>
        <v>1084.ENFN</v>
      </c>
      <c r="K9" s="52" t="str">
        <f t="shared" ref="K9:K55" si="1">_xlfn.CONCAT("T Bell-",(LEFT(B9,15)),"-",E9)</f>
        <v>T Bell-BELMONTS CAFE B-Food for Lunch and Learn with GR Engineering</v>
      </c>
      <c r="L9" s="52" t="s">
        <v>32</v>
      </c>
      <c r="M9" s="53">
        <f t="shared" ref="M9:M55" si="2">IF(C9&gt;0,C9,-D9)</f>
        <v>108</v>
      </c>
      <c r="N9" s="54" t="s">
        <v>33</v>
      </c>
      <c r="O9" s="44"/>
      <c r="P9" s="54"/>
      <c r="Q9" t="s">
        <v>34</v>
      </c>
      <c r="R9" s="21">
        <f>LEN(K9)</f>
        <v>67</v>
      </c>
    </row>
    <row r="10" spans="1:18" ht="15.75" thickBot="1" x14ac:dyDescent="0.25">
      <c r="A10" s="47">
        <v>45876</v>
      </c>
      <c r="B10" s="47" t="s">
        <v>53</v>
      </c>
      <c r="C10" s="84">
        <v>105.26</v>
      </c>
      <c r="D10" s="48"/>
      <c r="E10" s="13" t="s">
        <v>492</v>
      </c>
      <c r="F10" s="50" t="s">
        <v>366</v>
      </c>
      <c r="G10" s="13" t="s">
        <v>367</v>
      </c>
      <c r="H10" s="13"/>
      <c r="J10" s="51" t="str">
        <f t="shared" si="0"/>
        <v>G077.SALP</v>
      </c>
      <c r="K10" s="52" t="str">
        <f t="shared" si="1"/>
        <v>T Bell-BP GOLDEN GATE -Diggers and Dealers -  Petrol</v>
      </c>
      <c r="L10" s="52" t="s">
        <v>32</v>
      </c>
      <c r="M10" s="53">
        <f t="shared" si="2"/>
        <v>105.26</v>
      </c>
      <c r="N10" s="54" t="s">
        <v>33</v>
      </c>
      <c r="O10" s="44"/>
      <c r="P10" s="54"/>
      <c r="R10" s="21">
        <f t="shared" ref="R10:R55" si="3">LEN(K10)</f>
        <v>52</v>
      </c>
    </row>
    <row r="11" spans="1:18" ht="15.75" thickBot="1" x14ac:dyDescent="0.25">
      <c r="A11" s="47">
        <v>45876</v>
      </c>
      <c r="B11" s="47" t="s">
        <v>52</v>
      </c>
      <c r="C11" s="84">
        <v>17.899999999999999</v>
      </c>
      <c r="D11" s="48"/>
      <c r="E11" s="13" t="s">
        <v>471</v>
      </c>
      <c r="F11" s="50" t="s">
        <v>366</v>
      </c>
      <c r="G11" s="13" t="s">
        <v>367</v>
      </c>
      <c r="H11" s="13"/>
      <c r="J11" s="51" t="str">
        <f t="shared" si="0"/>
        <v>G077.SALP</v>
      </c>
      <c r="K11" s="52" t="str">
        <f t="shared" si="1"/>
        <v>T Bell-BP STHERN CROS1-Diggers and Dealers - Food / Amenities</v>
      </c>
      <c r="L11" s="52" t="s">
        <v>32</v>
      </c>
      <c r="M11" s="53">
        <f t="shared" si="2"/>
        <v>17.899999999999999</v>
      </c>
      <c r="N11" s="54" t="s">
        <v>33</v>
      </c>
      <c r="O11" s="44"/>
      <c r="P11" s="54"/>
      <c r="R11" s="21">
        <f t="shared" si="3"/>
        <v>61</v>
      </c>
    </row>
    <row r="12" spans="1:18" ht="15.75" thickBot="1" x14ac:dyDescent="0.25">
      <c r="A12" s="47">
        <v>45869</v>
      </c>
      <c r="B12" s="47" t="s">
        <v>59</v>
      </c>
      <c r="C12" s="84">
        <v>27.81</v>
      </c>
      <c r="D12" s="48"/>
      <c r="E12" s="13" t="s">
        <v>512</v>
      </c>
      <c r="F12" s="73" t="s">
        <v>168</v>
      </c>
      <c r="G12" s="13" t="s">
        <v>364</v>
      </c>
      <c r="H12" s="13"/>
      <c r="J12" s="51" t="str">
        <f t="shared" si="0"/>
        <v>1041.CONF</v>
      </c>
      <c r="K12" s="52" t="str">
        <f t="shared" si="1"/>
        <v>T Bell-CHILDRENS MEDIC-Lycopodium Jeans for Genes - Extra Seat Charity Dinner</v>
      </c>
      <c r="L12" s="52" t="s">
        <v>32</v>
      </c>
      <c r="M12" s="53">
        <f t="shared" si="2"/>
        <v>27.81</v>
      </c>
      <c r="N12" s="54" t="s">
        <v>33</v>
      </c>
      <c r="O12" s="44"/>
      <c r="P12" s="54"/>
      <c r="R12" s="21">
        <f t="shared" si="3"/>
        <v>77</v>
      </c>
    </row>
    <row r="13" spans="1:18" ht="15.75" thickBot="1" x14ac:dyDescent="0.25">
      <c r="A13" s="47">
        <v>45879</v>
      </c>
      <c r="B13" s="47" t="s">
        <v>46</v>
      </c>
      <c r="C13" s="84">
        <v>6.9</v>
      </c>
      <c r="D13" s="48"/>
      <c r="E13" s="13" t="s">
        <v>466</v>
      </c>
      <c r="F13" s="13" t="s">
        <v>382</v>
      </c>
      <c r="G13" s="13" t="s">
        <v>367</v>
      </c>
      <c r="H13" s="13"/>
      <c r="J13" s="51" t="str">
        <f t="shared" si="0"/>
        <v>G068.SALP</v>
      </c>
      <c r="K13" s="52" t="str">
        <f t="shared" si="1"/>
        <v>T Bell-DELAWARE NORTH -Ballarat Sales Conference - Food / Amenities</v>
      </c>
      <c r="L13" s="52" t="s">
        <v>32</v>
      </c>
      <c r="M13" s="53">
        <f t="shared" si="2"/>
        <v>6.9</v>
      </c>
      <c r="N13" s="54" t="s">
        <v>33</v>
      </c>
      <c r="O13" s="44"/>
      <c r="P13" s="54"/>
      <c r="R13" s="21">
        <f t="shared" si="3"/>
        <v>67</v>
      </c>
    </row>
    <row r="14" spans="1:18" ht="15.75" thickBot="1" x14ac:dyDescent="0.25">
      <c r="A14" s="47">
        <v>45873</v>
      </c>
      <c r="B14" s="47" t="s">
        <v>56</v>
      </c>
      <c r="C14" s="84">
        <v>211.63</v>
      </c>
      <c r="D14" s="48"/>
      <c r="E14" s="13" t="s">
        <v>471</v>
      </c>
      <c r="F14" s="50" t="s">
        <v>366</v>
      </c>
      <c r="G14" s="13" t="s">
        <v>367</v>
      </c>
      <c r="H14" s="13"/>
      <c r="J14" s="51" t="str">
        <f t="shared" si="0"/>
        <v>G077.SALP</v>
      </c>
      <c r="K14" s="52" t="str">
        <f t="shared" si="1"/>
        <v>T Bell-Exchange Hotel -Diggers and Dealers - Food / Amenities</v>
      </c>
      <c r="L14" s="52" t="s">
        <v>32</v>
      </c>
      <c r="M14" s="53">
        <f t="shared" si="2"/>
        <v>211.63</v>
      </c>
      <c r="N14" s="54" t="s">
        <v>33</v>
      </c>
      <c r="O14" s="44"/>
      <c r="P14" s="54"/>
      <c r="R14" s="21">
        <f t="shared" si="3"/>
        <v>61</v>
      </c>
    </row>
    <row r="15" spans="1:18" ht="15.75" thickBot="1" x14ac:dyDescent="0.25">
      <c r="A15" s="47">
        <v>45855</v>
      </c>
      <c r="B15" s="47" t="s">
        <v>67</v>
      </c>
      <c r="C15" s="84">
        <f>26/2</f>
        <v>13</v>
      </c>
      <c r="D15" s="48"/>
      <c r="E15" s="13" t="s">
        <v>490</v>
      </c>
      <c r="F15" s="71" t="s">
        <v>71</v>
      </c>
      <c r="G15" s="13" t="s">
        <v>438</v>
      </c>
      <c r="H15" s="13"/>
      <c r="J15" s="51" t="str">
        <f t="shared" si="0"/>
        <v>1084.ENFE</v>
      </c>
      <c r="K15" s="52" t="str">
        <f t="shared" si="1"/>
        <v>T Bell-FIBBER MCGEE 'S-Catch up with Steffen, re testwork</v>
      </c>
      <c r="L15" s="52" t="s">
        <v>32</v>
      </c>
      <c r="M15" s="53">
        <f t="shared" si="2"/>
        <v>13</v>
      </c>
      <c r="N15" s="54" t="s">
        <v>33</v>
      </c>
      <c r="O15" s="44"/>
      <c r="P15" s="54"/>
      <c r="R15" s="21">
        <f t="shared" si="3"/>
        <v>57</v>
      </c>
    </row>
    <row r="16" spans="1:18" ht="15.75" thickBot="1" x14ac:dyDescent="0.25">
      <c r="A16" s="47">
        <v>45855</v>
      </c>
      <c r="B16" s="47" t="s">
        <v>67</v>
      </c>
      <c r="C16" s="84">
        <f>26/2</f>
        <v>13</v>
      </c>
      <c r="D16" s="48"/>
      <c r="E16" s="13" t="s">
        <v>490</v>
      </c>
      <c r="F16" s="71" t="s">
        <v>71</v>
      </c>
      <c r="G16" s="14" t="s">
        <v>494</v>
      </c>
      <c r="H16" s="13"/>
      <c r="J16" s="51" t="str">
        <f t="shared" si="0"/>
        <v>1084.ENFN</v>
      </c>
      <c r="K16" s="52" t="str">
        <f t="shared" si="1"/>
        <v>T Bell-FIBBER MCGEE 'S-Catch up with Steffen, re testwork</v>
      </c>
      <c r="L16" s="52" t="s">
        <v>32</v>
      </c>
      <c r="M16" s="53">
        <f t="shared" si="2"/>
        <v>13</v>
      </c>
      <c r="N16" s="54" t="s">
        <v>33</v>
      </c>
      <c r="O16" s="44"/>
      <c r="P16" s="54"/>
      <c r="R16" s="21">
        <f t="shared" si="3"/>
        <v>57</v>
      </c>
    </row>
    <row r="17" spans="1:18" ht="15.75" thickBot="1" x14ac:dyDescent="0.25">
      <c r="A17" s="47">
        <v>45854</v>
      </c>
      <c r="B17" s="47" t="s">
        <v>68</v>
      </c>
      <c r="C17" s="84">
        <v>907.5</v>
      </c>
      <c r="D17" s="48"/>
      <c r="E17" s="13" t="s">
        <v>489</v>
      </c>
      <c r="F17" s="73" t="s">
        <v>168</v>
      </c>
      <c r="G17" s="13" t="s">
        <v>495</v>
      </c>
      <c r="H17" s="13"/>
      <c r="J17" s="51" t="str">
        <f t="shared" si="0"/>
        <v>1041.SPPE</v>
      </c>
      <c r="K17" s="52" t="str">
        <f t="shared" si="1"/>
        <v>T Bell-GASTECH AUSTRAL-1 x HCN Detctor Service and 1 x new HCN Detector</v>
      </c>
      <c r="L17" s="52" t="s">
        <v>32</v>
      </c>
      <c r="M17" s="53">
        <f t="shared" si="2"/>
        <v>907.5</v>
      </c>
      <c r="N17" s="54" t="s">
        <v>33</v>
      </c>
      <c r="O17" s="44"/>
      <c r="P17" s="54"/>
      <c r="R17" s="21">
        <f t="shared" si="3"/>
        <v>71</v>
      </c>
    </row>
    <row r="18" spans="1:18" ht="15.75" thickBot="1" x14ac:dyDescent="0.25">
      <c r="A18" s="47">
        <v>45867</v>
      </c>
      <c r="B18" s="47" t="s">
        <v>61</v>
      </c>
      <c r="C18" s="84">
        <v>19.48</v>
      </c>
      <c r="D18" s="48"/>
      <c r="E18" s="13" t="s">
        <v>470</v>
      </c>
      <c r="F18" s="73" t="s">
        <v>71</v>
      </c>
      <c r="G18" s="13" t="s">
        <v>116</v>
      </c>
      <c r="H18" s="13"/>
      <c r="J18" s="51" t="str">
        <f t="shared" si="0"/>
        <v>1084.ENON</v>
      </c>
      <c r="K18" s="52" t="str">
        <f t="shared" si="1"/>
        <v>T Bell-GOOD GROCER    -Wednesday Lunch</v>
      </c>
      <c r="L18" s="52" t="s">
        <v>32</v>
      </c>
      <c r="M18" s="53">
        <f t="shared" si="2"/>
        <v>19.48</v>
      </c>
      <c r="N18" s="54" t="s">
        <v>33</v>
      </c>
      <c r="O18" s="44"/>
      <c r="P18" s="54"/>
      <c r="R18" s="21">
        <f t="shared" si="3"/>
        <v>38</v>
      </c>
    </row>
    <row r="19" spans="1:18" ht="15.75" thickBot="1" x14ac:dyDescent="0.25">
      <c r="A19" s="47">
        <v>45859</v>
      </c>
      <c r="B19" s="47" t="s">
        <v>61</v>
      </c>
      <c r="C19" s="84">
        <v>16.89</v>
      </c>
      <c r="D19" s="48"/>
      <c r="E19" s="13" t="s">
        <v>487</v>
      </c>
      <c r="F19" s="71" t="s">
        <v>71</v>
      </c>
      <c r="G19" s="13" t="s">
        <v>126</v>
      </c>
      <c r="H19" s="13"/>
      <c r="J19" s="51" t="str">
        <f t="shared" si="0"/>
        <v>1084.STAF</v>
      </c>
      <c r="K19" s="52" t="str">
        <f t="shared" si="1"/>
        <v>T Bell-GOOD GROCER    -Coffee / Sugar</v>
      </c>
      <c r="L19" s="52" t="s">
        <v>32</v>
      </c>
      <c r="M19" s="53">
        <f t="shared" si="2"/>
        <v>16.89</v>
      </c>
      <c r="N19" s="54" t="s">
        <v>33</v>
      </c>
      <c r="O19" s="44"/>
      <c r="P19" s="54"/>
      <c r="R19" s="21">
        <f t="shared" si="3"/>
        <v>37</v>
      </c>
    </row>
    <row r="20" spans="1:18" ht="15.75" thickBot="1" x14ac:dyDescent="0.25">
      <c r="A20" s="47">
        <v>45879</v>
      </c>
      <c r="B20" s="47" t="s">
        <v>47</v>
      </c>
      <c r="C20" s="84">
        <v>51.7</v>
      </c>
      <c r="D20" s="48"/>
      <c r="E20" s="14" t="s">
        <v>466</v>
      </c>
      <c r="F20" s="13" t="s">
        <v>382</v>
      </c>
      <c r="G20" s="13" t="s">
        <v>367</v>
      </c>
      <c r="H20" s="13"/>
      <c r="J20" s="51" t="str">
        <f t="shared" si="0"/>
        <v>G068.SALP</v>
      </c>
      <c r="K20" s="52" t="str">
        <f t="shared" si="1"/>
        <v>T Bell-GRILL'D BALLARA-Ballarat Sales Conference - Food / Amenities</v>
      </c>
      <c r="L20" s="52" t="s">
        <v>32</v>
      </c>
      <c r="M20" s="53">
        <f t="shared" si="2"/>
        <v>51.7</v>
      </c>
      <c r="N20" s="54" t="s">
        <v>33</v>
      </c>
      <c r="O20" s="44"/>
      <c r="P20" s="54"/>
      <c r="R20" s="21">
        <f t="shared" si="3"/>
        <v>67</v>
      </c>
    </row>
    <row r="21" spans="1:18" ht="15.75" thickBot="1" x14ac:dyDescent="0.25">
      <c r="A21" s="47">
        <v>45860</v>
      </c>
      <c r="B21" s="47" t="s">
        <v>65</v>
      </c>
      <c r="C21" s="84">
        <v>89</v>
      </c>
      <c r="D21" s="48"/>
      <c r="E21" s="14" t="s">
        <v>470</v>
      </c>
      <c r="F21" s="73" t="s">
        <v>168</v>
      </c>
      <c r="G21" s="13" t="s">
        <v>116</v>
      </c>
      <c r="H21" s="13"/>
      <c r="J21" s="51" t="str">
        <f t="shared" si="0"/>
        <v>1041.ENON</v>
      </c>
      <c r="K21" s="52" t="str">
        <f t="shared" si="1"/>
        <v>T Bell-GRILLD PTY LTD -Wednesday Lunch</v>
      </c>
      <c r="L21" s="52" t="s">
        <v>32</v>
      </c>
      <c r="M21" s="53">
        <f t="shared" si="2"/>
        <v>89</v>
      </c>
      <c r="N21" s="54" t="s">
        <v>33</v>
      </c>
      <c r="O21" s="44"/>
      <c r="P21" s="54"/>
      <c r="R21" s="21">
        <f t="shared" si="3"/>
        <v>38</v>
      </c>
    </row>
    <row r="22" spans="1:18" ht="15.75" thickBot="1" x14ac:dyDescent="0.25">
      <c r="A22" s="47">
        <v>45869</v>
      </c>
      <c r="B22" s="47" t="s">
        <v>58</v>
      </c>
      <c r="C22" s="84">
        <v>165.33</v>
      </c>
      <c r="D22" s="48"/>
      <c r="E22" s="14" t="s">
        <v>474</v>
      </c>
      <c r="F22" s="50" t="s">
        <v>366</v>
      </c>
      <c r="G22" s="13" t="s">
        <v>367</v>
      </c>
      <c r="H22" s="13"/>
      <c r="J22" s="51" t="str">
        <f t="shared" si="0"/>
        <v>G077.SALP</v>
      </c>
      <c r="K22" s="52" t="str">
        <f t="shared" si="1"/>
        <v>T Bell-Kwik Kopy Canni-Diggers and Dealers - Modular Plant Brochures</v>
      </c>
      <c r="L22" s="52" t="s">
        <v>32</v>
      </c>
      <c r="M22" s="53">
        <f t="shared" si="2"/>
        <v>165.33</v>
      </c>
      <c r="N22" s="54" t="s">
        <v>33</v>
      </c>
      <c r="O22" s="44"/>
      <c r="P22" s="54"/>
      <c r="R22" s="21">
        <f t="shared" si="3"/>
        <v>68</v>
      </c>
    </row>
    <row r="23" spans="1:18" ht="15.75" thickBot="1" x14ac:dyDescent="0.25">
      <c r="A23" s="47">
        <v>45861</v>
      </c>
      <c r="B23" s="47" t="s">
        <v>58</v>
      </c>
      <c r="C23" s="84">
        <v>807.83</v>
      </c>
      <c r="D23" s="48"/>
      <c r="E23" s="14" t="s">
        <v>486</v>
      </c>
      <c r="F23" s="50" t="s">
        <v>366</v>
      </c>
      <c r="G23" s="13" t="s">
        <v>367</v>
      </c>
      <c r="H23" s="13"/>
      <c r="J23" s="51" t="str">
        <f t="shared" si="0"/>
        <v>G077.SALP</v>
      </c>
      <c r="K23" s="52" t="str">
        <f t="shared" si="1"/>
        <v>T Bell-Kwik Kopy Canni-Diggers and Dealers - Flyers for Stachels</v>
      </c>
      <c r="L23" s="52" t="s">
        <v>32</v>
      </c>
      <c r="M23" s="53">
        <f t="shared" si="2"/>
        <v>807.83</v>
      </c>
      <c r="N23" s="54" t="s">
        <v>33</v>
      </c>
      <c r="O23" s="44"/>
      <c r="P23" s="54"/>
      <c r="R23" s="21">
        <f t="shared" si="3"/>
        <v>64</v>
      </c>
    </row>
    <row r="24" spans="1:18" ht="15.75" thickBot="1" x14ac:dyDescent="0.25">
      <c r="A24" s="47">
        <v>45856</v>
      </c>
      <c r="B24" s="47" t="s">
        <v>66</v>
      </c>
      <c r="C24" s="84">
        <v>3.98</v>
      </c>
      <c r="D24" s="48"/>
      <c r="E24" s="13" t="s">
        <v>488</v>
      </c>
      <c r="F24" s="71" t="s">
        <v>71</v>
      </c>
      <c r="G24" s="13" t="s">
        <v>126</v>
      </c>
      <c r="H24" s="13"/>
      <c r="J24" s="51" t="str">
        <f t="shared" si="0"/>
        <v>1084.STAF</v>
      </c>
      <c r="K24" s="52" t="str">
        <f t="shared" si="1"/>
        <v>T Bell-LEEDERVILLE MIN-Milk</v>
      </c>
      <c r="L24" s="52" t="s">
        <v>32</v>
      </c>
      <c r="M24" s="53">
        <f t="shared" si="2"/>
        <v>3.98</v>
      </c>
      <c r="N24" s="54" t="s">
        <v>33</v>
      </c>
      <c r="O24" s="44"/>
      <c r="P24" s="54"/>
      <c r="R24" s="21">
        <f t="shared" si="3"/>
        <v>27</v>
      </c>
    </row>
    <row r="25" spans="1:18" ht="15.75" thickBot="1" x14ac:dyDescent="0.25">
      <c r="A25" s="47">
        <v>45869</v>
      </c>
      <c r="B25" s="47" t="s">
        <v>60</v>
      </c>
      <c r="C25" s="83">
        <f>64.96/2</f>
        <v>32.479999999999997</v>
      </c>
      <c r="D25" s="48"/>
      <c r="E25" s="13" t="s">
        <v>476</v>
      </c>
      <c r="F25" s="71" t="s">
        <v>71</v>
      </c>
      <c r="G25" s="13" t="s">
        <v>438</v>
      </c>
      <c r="H25" s="13"/>
      <c r="J25" s="51" t="str">
        <f t="shared" si="0"/>
        <v>1084.ENFE</v>
      </c>
      <c r="K25" s="52" t="str">
        <f t="shared" si="1"/>
        <v>T Bell-LENA'S BAR Pert-Lunch with Emily at Woodside</v>
      </c>
      <c r="L25" s="52" t="s">
        <v>32</v>
      </c>
      <c r="M25" s="53">
        <f t="shared" si="2"/>
        <v>32.479999999999997</v>
      </c>
      <c r="N25" s="54" t="s">
        <v>33</v>
      </c>
      <c r="O25" s="44"/>
      <c r="P25" s="54"/>
      <c r="R25" s="21">
        <f t="shared" si="3"/>
        <v>51</v>
      </c>
    </row>
    <row r="26" spans="1:18" ht="15.75" thickBot="1" x14ac:dyDescent="0.25">
      <c r="A26" s="47">
        <v>45869</v>
      </c>
      <c r="B26" s="47" t="s">
        <v>60</v>
      </c>
      <c r="C26" s="83">
        <f>64.96/2</f>
        <v>32.479999999999997</v>
      </c>
      <c r="D26" s="48"/>
      <c r="E26" s="13" t="s">
        <v>476</v>
      </c>
      <c r="F26" s="71" t="s">
        <v>71</v>
      </c>
      <c r="G26" s="14" t="s">
        <v>494</v>
      </c>
      <c r="H26" s="13"/>
      <c r="J26" s="51" t="str">
        <f t="shared" si="0"/>
        <v>1084.ENFN</v>
      </c>
      <c r="K26" s="52" t="str">
        <f t="shared" si="1"/>
        <v>T Bell-LENA'S BAR Pert-Lunch with Emily at Woodside</v>
      </c>
      <c r="L26" s="52"/>
      <c r="M26" s="53">
        <f t="shared" si="2"/>
        <v>32.479999999999997</v>
      </c>
      <c r="N26" s="54" t="s">
        <v>33</v>
      </c>
      <c r="O26" s="44"/>
      <c r="P26" s="54"/>
      <c r="R26" s="21">
        <f t="shared" si="3"/>
        <v>51</v>
      </c>
    </row>
    <row r="27" spans="1:18" ht="15.75" thickBot="1" x14ac:dyDescent="0.25">
      <c r="A27" s="47">
        <v>45867</v>
      </c>
      <c r="B27" s="47" t="s">
        <v>62</v>
      </c>
      <c r="C27" s="83">
        <f>10.5/2</f>
        <v>5.25</v>
      </c>
      <c r="D27" s="48"/>
      <c r="E27" s="13" t="s">
        <v>479</v>
      </c>
      <c r="F27" s="71" t="s">
        <v>71</v>
      </c>
      <c r="G27" s="13" t="s">
        <v>438</v>
      </c>
      <c r="H27" s="13"/>
      <c r="J27" s="51" t="str">
        <f t="shared" si="0"/>
        <v>1084.ENFE</v>
      </c>
      <c r="K27" s="52" t="str">
        <f t="shared" si="1"/>
        <v>T Bell-LOUVE PERTH AUS-Coffee with Darren Athies - Ramelius</v>
      </c>
      <c r="L27" s="52" t="s">
        <v>32</v>
      </c>
      <c r="M27" s="53">
        <f t="shared" si="2"/>
        <v>5.25</v>
      </c>
      <c r="N27" s="54" t="s">
        <v>33</v>
      </c>
      <c r="O27" s="44"/>
      <c r="P27" s="54"/>
      <c r="R27" s="21">
        <f t="shared" si="3"/>
        <v>59</v>
      </c>
    </row>
    <row r="28" spans="1:18" ht="15.75" thickBot="1" x14ac:dyDescent="0.25">
      <c r="A28" s="47">
        <v>45867</v>
      </c>
      <c r="B28" s="47" t="s">
        <v>62</v>
      </c>
      <c r="C28" s="83">
        <f>10.5/2</f>
        <v>5.25</v>
      </c>
      <c r="D28" s="48"/>
      <c r="E28" s="13" t="s">
        <v>479</v>
      </c>
      <c r="F28" s="71" t="s">
        <v>71</v>
      </c>
      <c r="G28" s="14" t="s">
        <v>494</v>
      </c>
      <c r="H28" s="13"/>
      <c r="J28" s="51" t="str">
        <f t="shared" si="0"/>
        <v>1084.ENFN</v>
      </c>
      <c r="K28" s="52" t="str">
        <f t="shared" si="1"/>
        <v>T Bell-LOUVE PERTH AUS-Coffee with Darren Athies - Ramelius</v>
      </c>
      <c r="L28" s="52"/>
      <c r="M28" s="53">
        <f t="shared" si="2"/>
        <v>5.25</v>
      </c>
      <c r="N28" s="54" t="s">
        <v>33</v>
      </c>
      <c r="O28" s="44"/>
      <c r="P28" s="54"/>
      <c r="R28" s="21">
        <f t="shared" si="3"/>
        <v>59</v>
      </c>
    </row>
    <row r="29" spans="1:18" ht="15.75" thickBot="1" x14ac:dyDescent="0.25">
      <c r="A29" s="47">
        <v>45883</v>
      </c>
      <c r="B29" s="47" t="s">
        <v>43</v>
      </c>
      <c r="C29" s="84">
        <v>9.6999999999999993</v>
      </c>
      <c r="D29" s="48"/>
      <c r="E29" s="13" t="s">
        <v>466</v>
      </c>
      <c r="F29" s="13" t="s">
        <v>382</v>
      </c>
      <c r="G29" s="13" t="s">
        <v>367</v>
      </c>
      <c r="H29" s="50"/>
      <c r="J29" s="51" t="str">
        <f t="shared" si="0"/>
        <v>G068.SALP</v>
      </c>
      <c r="K29" s="52" t="str">
        <f t="shared" si="1"/>
        <v>T Bell-MCDONALDS WENDO-Ballarat Sales Conference - Food / Amenities</v>
      </c>
      <c r="L29" s="52" t="s">
        <v>32</v>
      </c>
      <c r="M29" s="53">
        <f t="shared" si="2"/>
        <v>9.6999999999999993</v>
      </c>
      <c r="N29" s="54" t="s">
        <v>33</v>
      </c>
      <c r="O29" s="44"/>
      <c r="P29" s="54"/>
      <c r="R29" s="21">
        <f t="shared" si="3"/>
        <v>67</v>
      </c>
    </row>
    <row r="30" spans="1:18" ht="15.75" thickBot="1" x14ac:dyDescent="0.25">
      <c r="A30" s="47">
        <v>45882</v>
      </c>
      <c r="B30" s="47" t="s">
        <v>43</v>
      </c>
      <c r="C30" s="83">
        <v>9.6999999999999993</v>
      </c>
      <c r="D30" s="48"/>
      <c r="E30" s="13" t="s">
        <v>466</v>
      </c>
      <c r="F30" s="14" t="s">
        <v>382</v>
      </c>
      <c r="G30" s="13" t="s">
        <v>367</v>
      </c>
      <c r="H30" s="13"/>
      <c r="J30" s="51" t="str">
        <f t="shared" si="0"/>
        <v>G068.SALP</v>
      </c>
      <c r="K30" s="52" t="str">
        <f t="shared" si="1"/>
        <v>T Bell-MCDONALDS WENDO-Ballarat Sales Conference - Food / Amenities</v>
      </c>
      <c r="L30" s="52" t="s">
        <v>32</v>
      </c>
      <c r="M30" s="53">
        <f t="shared" si="2"/>
        <v>9.6999999999999993</v>
      </c>
      <c r="N30" s="54" t="s">
        <v>33</v>
      </c>
      <c r="O30" s="44"/>
      <c r="P30" s="54"/>
      <c r="R30" s="21">
        <f t="shared" si="3"/>
        <v>67</v>
      </c>
    </row>
    <row r="31" spans="1:18" ht="15.75" thickBot="1" x14ac:dyDescent="0.25">
      <c r="A31" s="47">
        <v>45881</v>
      </c>
      <c r="B31" s="47" t="s">
        <v>43</v>
      </c>
      <c r="C31" s="83">
        <v>15.8</v>
      </c>
      <c r="D31" s="48"/>
      <c r="E31" s="13" t="s">
        <v>466</v>
      </c>
      <c r="F31" s="14" t="s">
        <v>382</v>
      </c>
      <c r="G31" s="13" t="s">
        <v>367</v>
      </c>
      <c r="H31" s="50"/>
      <c r="J31" s="51" t="str">
        <f t="shared" si="0"/>
        <v>G068.SALP</v>
      </c>
      <c r="K31" s="52" t="str">
        <f t="shared" si="1"/>
        <v>T Bell-MCDONALDS WENDO-Ballarat Sales Conference - Food / Amenities</v>
      </c>
      <c r="L31" s="52" t="s">
        <v>32</v>
      </c>
      <c r="M31" s="53">
        <f t="shared" si="2"/>
        <v>15.8</v>
      </c>
      <c r="N31" s="54" t="s">
        <v>33</v>
      </c>
      <c r="O31" s="44"/>
      <c r="P31" s="54"/>
      <c r="R31" s="21">
        <f t="shared" si="3"/>
        <v>67</v>
      </c>
    </row>
    <row r="32" spans="1:18" ht="15.75" thickBot="1" x14ac:dyDescent="0.25">
      <c r="A32" s="47">
        <v>45880</v>
      </c>
      <c r="B32" s="47" t="s">
        <v>43</v>
      </c>
      <c r="C32" s="84">
        <v>9.6999999999999993</v>
      </c>
      <c r="D32" s="48"/>
      <c r="E32" s="13" t="s">
        <v>466</v>
      </c>
      <c r="F32" s="14" t="s">
        <v>382</v>
      </c>
      <c r="G32" s="13" t="s">
        <v>367</v>
      </c>
      <c r="H32" s="13"/>
      <c r="J32" s="51" t="str">
        <f t="shared" si="0"/>
        <v>G068.SALP</v>
      </c>
      <c r="K32" s="52" t="str">
        <f t="shared" si="1"/>
        <v>T Bell-MCDONALDS WENDO-Ballarat Sales Conference - Food / Amenities</v>
      </c>
      <c r="L32" s="52" t="s">
        <v>32</v>
      </c>
      <c r="M32" s="53">
        <f t="shared" si="2"/>
        <v>9.6999999999999993</v>
      </c>
      <c r="N32" s="54" t="s">
        <v>33</v>
      </c>
      <c r="O32" s="44"/>
      <c r="P32" s="54"/>
      <c r="R32" s="21">
        <f t="shared" si="3"/>
        <v>67</v>
      </c>
    </row>
    <row r="33" spans="1:18" ht="15.75" thickBot="1" x14ac:dyDescent="0.25">
      <c r="A33" s="47">
        <v>45881</v>
      </c>
      <c r="B33" s="47" t="s">
        <v>44</v>
      </c>
      <c r="C33" s="84">
        <v>156.88</v>
      </c>
      <c r="D33" s="48"/>
      <c r="E33" s="13" t="s">
        <v>466</v>
      </c>
      <c r="F33" s="14" t="s">
        <v>382</v>
      </c>
      <c r="G33" s="13" t="s">
        <v>367</v>
      </c>
      <c r="H33" s="13"/>
      <c r="J33" s="51" t="str">
        <f t="shared" si="0"/>
        <v>G068.SALP</v>
      </c>
      <c r="K33" s="52" t="str">
        <f t="shared" si="1"/>
        <v>T Bell-North Star Hote-Ballarat Sales Conference - Food / Amenities</v>
      </c>
      <c r="L33" s="52" t="s">
        <v>32</v>
      </c>
      <c r="M33" s="53">
        <f t="shared" si="2"/>
        <v>156.88</v>
      </c>
      <c r="N33" s="54" t="s">
        <v>33</v>
      </c>
      <c r="O33" s="44"/>
      <c r="P33" s="54"/>
      <c r="R33" s="21">
        <f t="shared" si="3"/>
        <v>67</v>
      </c>
    </row>
    <row r="34" spans="1:18" ht="15.75" thickBot="1" x14ac:dyDescent="0.25">
      <c r="A34" s="47">
        <v>45874</v>
      </c>
      <c r="B34" s="47" t="s">
        <v>54</v>
      </c>
      <c r="C34" s="83">
        <v>13.95</v>
      </c>
      <c r="D34" s="48"/>
      <c r="E34" s="13" t="s">
        <v>471</v>
      </c>
      <c r="F34" s="50" t="s">
        <v>366</v>
      </c>
      <c r="G34" s="13" t="s">
        <v>367</v>
      </c>
      <c r="H34" s="13"/>
      <c r="J34" s="51" t="str">
        <f t="shared" si="0"/>
        <v>G077.SALP</v>
      </c>
      <c r="K34" s="52" t="str">
        <f t="shared" si="1"/>
        <v>T Bell-PALACE HOTEL KA-Diggers and Dealers - Food / Amenities</v>
      </c>
      <c r="L34" s="52" t="s">
        <v>32</v>
      </c>
      <c r="M34" s="53">
        <f t="shared" si="2"/>
        <v>13.95</v>
      </c>
      <c r="N34" s="54" t="s">
        <v>33</v>
      </c>
      <c r="O34" s="44"/>
      <c r="P34" s="54"/>
      <c r="R34" s="21">
        <f t="shared" si="3"/>
        <v>61</v>
      </c>
    </row>
    <row r="35" spans="1:18" ht="15.75" thickBot="1" x14ac:dyDescent="0.25">
      <c r="A35" s="47">
        <v>45874</v>
      </c>
      <c r="B35" s="47" t="s">
        <v>54</v>
      </c>
      <c r="C35" s="83">
        <v>51.16</v>
      </c>
      <c r="D35" s="48"/>
      <c r="E35" s="13" t="s">
        <v>471</v>
      </c>
      <c r="F35" s="50" t="s">
        <v>366</v>
      </c>
      <c r="G35" s="13" t="s">
        <v>367</v>
      </c>
      <c r="H35" s="13"/>
      <c r="J35" s="51" t="str">
        <f t="shared" si="0"/>
        <v>G077.SALP</v>
      </c>
      <c r="K35" s="52" t="str">
        <f t="shared" si="1"/>
        <v>T Bell-PALACE HOTEL KA-Diggers and Dealers - Food / Amenities</v>
      </c>
      <c r="L35" s="52" t="s">
        <v>32</v>
      </c>
      <c r="M35" s="53">
        <f t="shared" si="2"/>
        <v>51.16</v>
      </c>
      <c r="N35" s="54" t="s">
        <v>33</v>
      </c>
      <c r="O35" s="44"/>
      <c r="P35" s="54"/>
      <c r="R35" s="21">
        <f t="shared" si="3"/>
        <v>61</v>
      </c>
    </row>
    <row r="36" spans="1:18" ht="15.75" thickBot="1" x14ac:dyDescent="0.25">
      <c r="A36" s="47">
        <v>45866</v>
      </c>
      <c r="B36" s="47" t="s">
        <v>63</v>
      </c>
      <c r="C36" s="83">
        <v>6.49</v>
      </c>
      <c r="D36" s="48"/>
      <c r="E36" s="13" t="s">
        <v>484</v>
      </c>
      <c r="F36" s="71" t="s">
        <v>71</v>
      </c>
      <c r="G36" s="13" t="s">
        <v>126</v>
      </c>
      <c r="H36" s="13"/>
      <c r="J36" s="51" t="str">
        <f t="shared" si="0"/>
        <v>1084.STAF</v>
      </c>
      <c r="K36" s="52" t="str">
        <f t="shared" si="1"/>
        <v xml:space="preserve">T Bell-ROSSMOYNE IGA R-Coffee  </v>
      </c>
      <c r="L36" s="52" t="s">
        <v>32</v>
      </c>
      <c r="M36" s="53">
        <f t="shared" si="2"/>
        <v>6.49</v>
      </c>
      <c r="N36" s="54" t="s">
        <v>33</v>
      </c>
      <c r="O36" s="44"/>
      <c r="P36" s="54"/>
      <c r="R36" s="21">
        <f t="shared" si="3"/>
        <v>31</v>
      </c>
    </row>
    <row r="37" spans="1:18" ht="15.75" thickBot="1" x14ac:dyDescent="0.25">
      <c r="A37" s="47">
        <v>45877</v>
      </c>
      <c r="B37" s="47" t="s">
        <v>51</v>
      </c>
      <c r="C37" s="84">
        <v>15.9</v>
      </c>
      <c r="D37" s="48"/>
      <c r="E37" s="13" t="s">
        <v>470</v>
      </c>
      <c r="F37" s="73" t="s">
        <v>71</v>
      </c>
      <c r="G37" s="13" t="s">
        <v>116</v>
      </c>
      <c r="H37" s="13"/>
      <c r="J37" s="51" t="str">
        <f t="shared" si="0"/>
        <v>1084.ENON</v>
      </c>
      <c r="K37" s="52" t="str">
        <f t="shared" si="1"/>
        <v>T Bell-SQ *NOURISH KIT-Wednesday Lunch</v>
      </c>
      <c r="L37" s="52" t="s">
        <v>32</v>
      </c>
      <c r="M37" s="53">
        <f t="shared" si="2"/>
        <v>15.9</v>
      </c>
      <c r="N37" s="54" t="s">
        <v>33</v>
      </c>
      <c r="O37" s="44"/>
      <c r="P37" s="54"/>
      <c r="R37" s="21">
        <f t="shared" si="3"/>
        <v>38</v>
      </c>
    </row>
    <row r="38" spans="1:18" ht="15.75" thickBot="1" x14ac:dyDescent="0.25">
      <c r="A38" s="47">
        <v>45880</v>
      </c>
      <c r="B38" s="47" t="s">
        <v>45</v>
      </c>
      <c r="C38" s="84">
        <v>25.07</v>
      </c>
      <c r="D38" s="48"/>
      <c r="E38" s="13" t="s">
        <v>466</v>
      </c>
      <c r="F38" s="14" t="s">
        <v>382</v>
      </c>
      <c r="G38" s="13" t="s">
        <v>367</v>
      </c>
      <c r="H38" s="13"/>
      <c r="J38" s="51" t="str">
        <f t="shared" si="0"/>
        <v>G068.SALP</v>
      </c>
      <c r="K38" s="52" t="str">
        <f t="shared" si="1"/>
        <v>T Bell-THE CITY OVAL H-Ballarat Sales Conference - Food / Amenities</v>
      </c>
      <c r="L38" s="52" t="s">
        <v>32</v>
      </c>
      <c r="M38" s="53">
        <f t="shared" si="2"/>
        <v>25.07</v>
      </c>
      <c r="N38" s="54" t="s">
        <v>33</v>
      </c>
      <c r="O38" s="44"/>
      <c r="P38" s="54"/>
      <c r="R38" s="21">
        <f t="shared" si="3"/>
        <v>67</v>
      </c>
    </row>
    <row r="39" spans="1:18" ht="15.75" thickBot="1" x14ac:dyDescent="0.25">
      <c r="A39" s="47">
        <v>45884</v>
      </c>
      <c r="B39" s="47" t="s">
        <v>42</v>
      </c>
      <c r="C39" s="84">
        <v>33.67</v>
      </c>
      <c r="D39" s="48"/>
      <c r="E39" s="13" t="s">
        <v>465</v>
      </c>
      <c r="F39" s="50" t="s">
        <v>366</v>
      </c>
      <c r="G39" s="13" t="s">
        <v>367</v>
      </c>
      <c r="H39" s="80"/>
      <c r="J39" s="51" t="str">
        <f t="shared" si="0"/>
        <v>G077.SALP</v>
      </c>
      <c r="K39" s="52" t="str">
        <f t="shared" si="1"/>
        <v>T Bell-UBER *TRIP HELP-Ballarat Sales Conference - Uber</v>
      </c>
      <c r="L39" s="52" t="s">
        <v>32</v>
      </c>
      <c r="M39" s="53">
        <f t="shared" si="2"/>
        <v>33.67</v>
      </c>
      <c r="N39" s="54" t="s">
        <v>33</v>
      </c>
      <c r="O39" s="44"/>
      <c r="P39" s="55"/>
      <c r="R39" s="21">
        <f t="shared" si="3"/>
        <v>55</v>
      </c>
    </row>
    <row r="40" spans="1:18" ht="15.75" thickBot="1" x14ac:dyDescent="0.25">
      <c r="A40" s="47">
        <v>45879</v>
      </c>
      <c r="B40" s="47" t="s">
        <v>42</v>
      </c>
      <c r="C40" s="84">
        <v>38</v>
      </c>
      <c r="D40" s="48"/>
      <c r="E40" s="13" t="s">
        <v>465</v>
      </c>
      <c r="F40" s="13" t="s">
        <v>382</v>
      </c>
      <c r="G40" s="13" t="s">
        <v>367</v>
      </c>
      <c r="H40" s="13"/>
      <c r="J40" s="51" t="str">
        <f t="shared" si="0"/>
        <v>G068.SALP</v>
      </c>
      <c r="K40" s="52" t="str">
        <f t="shared" si="1"/>
        <v>T Bell-UBER *TRIP HELP-Ballarat Sales Conference - Uber</v>
      </c>
      <c r="L40" s="52" t="s">
        <v>32</v>
      </c>
      <c r="M40" s="53">
        <f t="shared" si="2"/>
        <v>38</v>
      </c>
      <c r="N40" s="54" t="s">
        <v>33</v>
      </c>
      <c r="O40" s="44"/>
      <c r="P40" s="54"/>
      <c r="R40" s="21">
        <f t="shared" si="3"/>
        <v>55</v>
      </c>
    </row>
    <row r="41" spans="1:18" ht="15.75" thickBot="1" x14ac:dyDescent="0.25">
      <c r="A41" s="47">
        <v>45878</v>
      </c>
      <c r="B41" s="47" t="s">
        <v>42</v>
      </c>
      <c r="C41" s="84">
        <v>32.4</v>
      </c>
      <c r="D41" s="48"/>
      <c r="E41" s="13" t="s">
        <v>465</v>
      </c>
      <c r="F41" s="13" t="s">
        <v>382</v>
      </c>
      <c r="G41" s="13" t="s">
        <v>367</v>
      </c>
      <c r="H41" s="13"/>
      <c r="J41" s="51" t="str">
        <f t="shared" si="0"/>
        <v>G068.SALP</v>
      </c>
      <c r="K41" s="52" t="str">
        <f t="shared" si="1"/>
        <v>T Bell-UBER *TRIP HELP-Ballarat Sales Conference - Uber</v>
      </c>
      <c r="L41" s="52" t="s">
        <v>32</v>
      </c>
      <c r="M41" s="53">
        <f t="shared" si="2"/>
        <v>32.4</v>
      </c>
      <c r="N41" s="54" t="s">
        <v>33</v>
      </c>
      <c r="O41" s="44"/>
      <c r="P41" s="54"/>
      <c r="R41" s="21">
        <f t="shared" si="3"/>
        <v>55</v>
      </c>
    </row>
    <row r="42" spans="1:18" ht="15.75" thickBot="1" x14ac:dyDescent="0.25">
      <c r="A42" s="47">
        <v>45878</v>
      </c>
      <c r="B42" s="47" t="s">
        <v>42</v>
      </c>
      <c r="C42" s="84">
        <v>21.55</v>
      </c>
      <c r="D42" s="48"/>
      <c r="E42" s="13" t="s">
        <v>465</v>
      </c>
      <c r="F42" s="13" t="s">
        <v>382</v>
      </c>
      <c r="G42" s="13" t="s">
        <v>367</v>
      </c>
      <c r="H42" s="13"/>
      <c r="J42" s="51" t="str">
        <f t="shared" si="0"/>
        <v>G068.SALP</v>
      </c>
      <c r="K42" s="52" t="str">
        <f t="shared" si="1"/>
        <v>T Bell-UBER *TRIP HELP-Ballarat Sales Conference - Uber</v>
      </c>
      <c r="L42" s="52" t="s">
        <v>32</v>
      </c>
      <c r="M42" s="53">
        <f t="shared" si="2"/>
        <v>21.55</v>
      </c>
      <c r="N42" s="54" t="s">
        <v>33</v>
      </c>
      <c r="O42" s="44"/>
      <c r="P42" s="54"/>
      <c r="R42" s="21">
        <f t="shared" si="3"/>
        <v>55</v>
      </c>
    </row>
    <row r="43" spans="1:18" ht="15.75" thickBot="1" x14ac:dyDescent="0.25">
      <c r="A43" s="47">
        <v>45878</v>
      </c>
      <c r="B43" s="47" t="s">
        <v>42</v>
      </c>
      <c r="C43" s="84">
        <v>19.93</v>
      </c>
      <c r="D43" s="48"/>
      <c r="E43" s="13" t="s">
        <v>465</v>
      </c>
      <c r="F43" s="13" t="s">
        <v>382</v>
      </c>
      <c r="G43" s="13" t="s">
        <v>367</v>
      </c>
      <c r="H43" s="13"/>
      <c r="J43" s="51" t="str">
        <f t="shared" si="0"/>
        <v>G068.SALP</v>
      </c>
      <c r="K43" s="52" t="str">
        <f t="shared" si="1"/>
        <v>T Bell-UBER *TRIP HELP-Ballarat Sales Conference - Uber</v>
      </c>
      <c r="L43" s="52" t="s">
        <v>32</v>
      </c>
      <c r="M43" s="53">
        <f t="shared" si="2"/>
        <v>19.93</v>
      </c>
      <c r="N43" s="54" t="s">
        <v>33</v>
      </c>
      <c r="O43" s="44"/>
      <c r="P43" s="54"/>
      <c r="R43" s="21">
        <f t="shared" si="3"/>
        <v>55</v>
      </c>
    </row>
    <row r="44" spans="1:18" ht="15.75" thickBot="1" x14ac:dyDescent="0.25">
      <c r="A44" s="47">
        <v>45877</v>
      </c>
      <c r="B44" s="47" t="s">
        <v>42</v>
      </c>
      <c r="C44" s="84">
        <v>25.89</v>
      </c>
      <c r="D44" s="48"/>
      <c r="E44" s="13" t="s">
        <v>468</v>
      </c>
      <c r="F44" s="50" t="s">
        <v>366</v>
      </c>
      <c r="G44" s="13" t="s">
        <v>367</v>
      </c>
      <c r="H44" s="13"/>
      <c r="J44" s="51" t="str">
        <f t="shared" si="0"/>
        <v>G077.SALP</v>
      </c>
      <c r="K44" s="52" t="str">
        <f t="shared" si="1"/>
        <v>T Bell-UBER *TRIP HELP-Diggers and Dealers - Uber home from dropping hire car off</v>
      </c>
      <c r="L44" s="52" t="s">
        <v>32</v>
      </c>
      <c r="M44" s="53">
        <f t="shared" si="2"/>
        <v>25.89</v>
      </c>
      <c r="N44" s="54" t="s">
        <v>33</v>
      </c>
      <c r="O44" s="44"/>
      <c r="P44" s="54"/>
      <c r="R44" s="21">
        <f t="shared" si="3"/>
        <v>81</v>
      </c>
    </row>
    <row r="45" spans="1:18" ht="15.75" thickBot="1" x14ac:dyDescent="0.25">
      <c r="A45" s="47">
        <v>45871</v>
      </c>
      <c r="B45" s="47" t="s">
        <v>42</v>
      </c>
      <c r="C45" s="84">
        <v>44.11</v>
      </c>
      <c r="D45" s="48"/>
      <c r="E45" s="13" t="s">
        <v>472</v>
      </c>
      <c r="F45" s="50" t="s">
        <v>366</v>
      </c>
      <c r="G45" s="13" t="s">
        <v>367</v>
      </c>
      <c r="H45" s="13"/>
      <c r="J45" s="51" t="str">
        <f t="shared" si="0"/>
        <v>G077.SALP</v>
      </c>
      <c r="K45" s="52" t="str">
        <f t="shared" si="1"/>
        <v xml:space="preserve">T Bell-UBER *TRIP HELP-Diggers and Dealers - Uber  </v>
      </c>
      <c r="L45" s="52" t="s">
        <v>32</v>
      </c>
      <c r="M45" s="53">
        <f t="shared" si="2"/>
        <v>44.11</v>
      </c>
      <c r="N45" s="54" t="s">
        <v>33</v>
      </c>
      <c r="O45" s="44"/>
      <c r="P45" s="54"/>
      <c r="R45" s="21">
        <f t="shared" si="3"/>
        <v>51</v>
      </c>
    </row>
    <row r="46" spans="1:18" ht="15.75" thickBot="1" x14ac:dyDescent="0.25">
      <c r="A46" s="47">
        <v>45871</v>
      </c>
      <c r="B46" s="47" t="s">
        <v>42</v>
      </c>
      <c r="C46" s="84">
        <v>35.979999999999997</v>
      </c>
      <c r="D46" s="48"/>
      <c r="E46" s="13" t="s">
        <v>473</v>
      </c>
      <c r="F46" s="50" t="s">
        <v>366</v>
      </c>
      <c r="G46" s="13" t="s">
        <v>367</v>
      </c>
      <c r="H46" s="13"/>
      <c r="J46" s="51" t="str">
        <f t="shared" si="0"/>
        <v>G077.SALP</v>
      </c>
      <c r="K46" s="52" t="str">
        <f t="shared" si="1"/>
        <v>T Bell-UBER *TRIP HELP-Diggers and Dealers - Uber</v>
      </c>
      <c r="L46" s="52" t="s">
        <v>32</v>
      </c>
      <c r="M46" s="53">
        <f t="shared" si="2"/>
        <v>35.979999999999997</v>
      </c>
      <c r="N46" s="54" t="s">
        <v>33</v>
      </c>
      <c r="O46" s="44"/>
      <c r="P46" s="54"/>
      <c r="R46" s="21">
        <f t="shared" si="3"/>
        <v>49</v>
      </c>
    </row>
    <row r="47" spans="1:18" ht="15.75" thickBot="1" x14ac:dyDescent="0.25">
      <c r="A47" s="47">
        <v>45869</v>
      </c>
      <c r="B47" s="47" t="s">
        <v>42</v>
      </c>
      <c r="C47" s="84">
        <v>8.94</v>
      </c>
      <c r="D47" s="48"/>
      <c r="E47" s="13" t="s">
        <v>475</v>
      </c>
      <c r="F47" s="73" t="s">
        <v>168</v>
      </c>
      <c r="G47" s="13" t="s">
        <v>232</v>
      </c>
      <c r="H47" s="13"/>
      <c r="J47" s="51" t="str">
        <f t="shared" si="0"/>
        <v>1041.TRAV</v>
      </c>
      <c r="K47" s="52" t="str">
        <f t="shared" si="1"/>
        <v>T Bell-UBER *TRIP HELP-Uber to meeting with Emily at Woodside</v>
      </c>
      <c r="L47" s="52" t="s">
        <v>32</v>
      </c>
      <c r="M47" s="53">
        <f t="shared" si="2"/>
        <v>8.94</v>
      </c>
      <c r="N47" s="54" t="s">
        <v>33</v>
      </c>
      <c r="O47" s="44"/>
      <c r="P47" s="54"/>
      <c r="R47" s="21">
        <f t="shared" si="3"/>
        <v>61</v>
      </c>
    </row>
    <row r="48" spans="1:18" ht="15.75" thickBot="1" x14ac:dyDescent="0.25">
      <c r="A48" s="47">
        <v>45868</v>
      </c>
      <c r="B48" s="47" t="s">
        <v>42</v>
      </c>
      <c r="C48" s="84">
        <v>9.09</v>
      </c>
      <c r="D48" s="48"/>
      <c r="E48" s="13" t="s">
        <v>477</v>
      </c>
      <c r="F48" s="73" t="s">
        <v>168</v>
      </c>
      <c r="G48" s="13" t="s">
        <v>232</v>
      </c>
      <c r="H48" s="13"/>
      <c r="J48" s="51" t="str">
        <f t="shared" si="0"/>
        <v>1041.TRAV</v>
      </c>
      <c r="K48" s="52" t="str">
        <f t="shared" si="1"/>
        <v xml:space="preserve">T Bell-UBER *TRIP HELP-Uber to meeting  </v>
      </c>
      <c r="L48" s="52" t="s">
        <v>32</v>
      </c>
      <c r="M48" s="53">
        <f t="shared" si="2"/>
        <v>9.09</v>
      </c>
      <c r="N48" s="54" t="s">
        <v>33</v>
      </c>
      <c r="O48" s="44"/>
      <c r="P48" s="54"/>
      <c r="R48" s="21">
        <f t="shared" si="3"/>
        <v>40</v>
      </c>
    </row>
    <row r="49" spans="1:18" ht="15.75" thickBot="1" x14ac:dyDescent="0.25">
      <c r="A49" s="47">
        <v>45867</v>
      </c>
      <c r="B49" s="47" t="s">
        <v>42</v>
      </c>
      <c r="C49" s="84">
        <v>8.94</v>
      </c>
      <c r="D49" s="48"/>
      <c r="E49" s="13" t="s">
        <v>482</v>
      </c>
      <c r="F49" s="73" t="s">
        <v>168</v>
      </c>
      <c r="G49" s="13" t="s">
        <v>232</v>
      </c>
      <c r="H49" s="13"/>
      <c r="J49" s="51" t="str">
        <f t="shared" si="0"/>
        <v>1041.TRAV</v>
      </c>
      <c r="K49" s="52" t="str">
        <f t="shared" si="1"/>
        <v>T Bell-UBER *TRIP HELP-Uber to meeting with Darren Athies - Ramelius</v>
      </c>
      <c r="L49" s="52" t="s">
        <v>32</v>
      </c>
      <c r="M49" s="53">
        <f t="shared" si="2"/>
        <v>8.94</v>
      </c>
      <c r="N49" s="54" t="s">
        <v>33</v>
      </c>
      <c r="O49" s="44"/>
      <c r="P49" s="54"/>
      <c r="R49" s="21">
        <f t="shared" si="3"/>
        <v>68</v>
      </c>
    </row>
    <row r="50" spans="1:18" ht="15.75" thickBot="1" x14ac:dyDescent="0.25">
      <c r="A50" s="47">
        <v>45867</v>
      </c>
      <c r="B50" s="47" t="s">
        <v>42</v>
      </c>
      <c r="C50" s="84">
        <v>8.94</v>
      </c>
      <c r="D50" s="48"/>
      <c r="E50" s="13" t="s">
        <v>482</v>
      </c>
      <c r="F50" s="73" t="s">
        <v>168</v>
      </c>
      <c r="G50" s="13" t="s">
        <v>232</v>
      </c>
      <c r="H50" s="13"/>
      <c r="J50" s="51" t="str">
        <f t="shared" si="0"/>
        <v>1041.TRAV</v>
      </c>
      <c r="K50" s="52" t="str">
        <f t="shared" si="1"/>
        <v>T Bell-UBER *TRIP HELP-Uber to meeting with Darren Athies - Ramelius</v>
      </c>
      <c r="L50" s="52" t="s">
        <v>32</v>
      </c>
      <c r="M50" s="53">
        <f t="shared" si="2"/>
        <v>8.94</v>
      </c>
      <c r="N50" s="54" t="s">
        <v>33</v>
      </c>
      <c r="O50" s="44"/>
      <c r="P50" s="54"/>
      <c r="R50" s="21">
        <f t="shared" si="3"/>
        <v>68</v>
      </c>
    </row>
    <row r="51" spans="1:18" ht="15.75" thickBot="1" x14ac:dyDescent="0.25">
      <c r="A51" s="47">
        <v>45870</v>
      </c>
      <c r="B51" s="47" t="s">
        <v>57</v>
      </c>
      <c r="C51" s="84">
        <v>9.3800000000000008</v>
      </c>
      <c r="D51" s="48"/>
      <c r="E51" s="13" t="s">
        <v>473</v>
      </c>
      <c r="F51" s="50" t="s">
        <v>366</v>
      </c>
      <c r="G51" s="13" t="s">
        <v>367</v>
      </c>
      <c r="H51" s="13"/>
      <c r="J51" s="51" t="str">
        <f t="shared" si="0"/>
        <v>G077.SALP</v>
      </c>
      <c r="K51" s="52" t="str">
        <f t="shared" si="1"/>
        <v>T Bell-UBER* TRIP SYDN-Diggers and Dealers - Uber</v>
      </c>
      <c r="L51" s="52" t="s">
        <v>32</v>
      </c>
      <c r="M51" s="53">
        <f t="shared" si="2"/>
        <v>9.3800000000000008</v>
      </c>
      <c r="N51" s="54" t="s">
        <v>33</v>
      </c>
      <c r="O51" s="44"/>
      <c r="P51" s="54"/>
      <c r="R51" s="21">
        <f t="shared" si="3"/>
        <v>49</v>
      </c>
    </row>
    <row r="52" spans="1:18" ht="15.75" thickBot="1" x14ac:dyDescent="0.25">
      <c r="A52" s="47">
        <v>45877</v>
      </c>
      <c r="B52" s="47" t="s">
        <v>49</v>
      </c>
      <c r="C52" s="84">
        <v>97.11</v>
      </c>
      <c r="D52" s="48"/>
      <c r="E52" s="13" t="s">
        <v>467</v>
      </c>
      <c r="F52" s="50" t="s">
        <v>366</v>
      </c>
      <c r="G52" s="13" t="s">
        <v>367</v>
      </c>
      <c r="H52" s="13"/>
      <c r="J52" s="51" t="str">
        <f t="shared" si="0"/>
        <v>G077.SALP</v>
      </c>
      <c r="K52" s="52" t="str">
        <f t="shared" si="1"/>
        <v>T Bell-VIBE PETROLEUM -Diggers and Dealers - Petrol for Hire Car</v>
      </c>
      <c r="L52" s="52" t="s">
        <v>32</v>
      </c>
      <c r="M52" s="53">
        <f t="shared" si="2"/>
        <v>97.11</v>
      </c>
      <c r="N52" s="54" t="s">
        <v>33</v>
      </c>
      <c r="O52" s="44"/>
      <c r="P52" s="54"/>
      <c r="R52" s="21">
        <f t="shared" si="3"/>
        <v>64</v>
      </c>
    </row>
    <row r="53" spans="1:18" ht="15.75" thickBot="1" x14ac:dyDescent="0.25">
      <c r="A53" s="47">
        <v>45873</v>
      </c>
      <c r="B53" s="47" t="s">
        <v>55</v>
      </c>
      <c r="C53" s="84">
        <v>8.99</v>
      </c>
      <c r="D53" s="48"/>
      <c r="E53" s="13" t="s">
        <v>493</v>
      </c>
      <c r="F53" s="50" t="s">
        <v>366</v>
      </c>
      <c r="G53" s="13" t="s">
        <v>367</v>
      </c>
      <c r="H53" s="13"/>
      <c r="J53" s="51" t="str">
        <f t="shared" si="0"/>
        <v>G077.SALP</v>
      </c>
      <c r="K53" s="52" t="str">
        <f t="shared" si="1"/>
        <v>T Bell-WIZ PHY KALGOOR-Diggers and Dealers - Hand Sanitiser</v>
      </c>
      <c r="L53" s="52" t="s">
        <v>32</v>
      </c>
      <c r="M53" s="53">
        <f t="shared" si="2"/>
        <v>8.99</v>
      </c>
      <c r="N53" s="54" t="s">
        <v>33</v>
      </c>
      <c r="O53" s="44"/>
      <c r="P53" s="54"/>
      <c r="R53" s="21">
        <f t="shared" si="3"/>
        <v>59</v>
      </c>
    </row>
    <row r="54" spans="1:18" ht="15.75" thickBot="1" x14ac:dyDescent="0.25">
      <c r="A54" s="47">
        <v>45861</v>
      </c>
      <c r="B54" s="47" t="s">
        <v>64</v>
      </c>
      <c r="C54" s="83">
        <v>21.43</v>
      </c>
      <c r="D54" s="48"/>
      <c r="E54" s="13" t="s">
        <v>491</v>
      </c>
      <c r="F54" s="50" t="s">
        <v>366</v>
      </c>
      <c r="G54" s="13" t="s">
        <v>367</v>
      </c>
      <c r="H54" s="13"/>
      <c r="J54" s="51" t="str">
        <f t="shared" si="0"/>
        <v>G077.SALP</v>
      </c>
      <c r="K54" s="52" t="str">
        <f t="shared" si="1"/>
        <v>T Bell-WIZ PHY ROSSMOY-Diggers - Meds</v>
      </c>
      <c r="L54" s="52" t="s">
        <v>32</v>
      </c>
      <c r="M54" s="53">
        <f t="shared" si="2"/>
        <v>21.43</v>
      </c>
      <c r="N54" s="54" t="s">
        <v>33</v>
      </c>
      <c r="O54" s="44"/>
      <c r="P54" s="54"/>
      <c r="R54" s="21">
        <f t="shared" si="3"/>
        <v>37</v>
      </c>
    </row>
    <row r="55" spans="1:18" ht="15.75" thickBot="1" x14ac:dyDescent="0.25">
      <c r="A55" s="47">
        <v>45879</v>
      </c>
      <c r="B55" s="47" t="s">
        <v>48</v>
      </c>
      <c r="C55" s="84">
        <v>22.9</v>
      </c>
      <c r="D55" s="48"/>
      <c r="E55" s="13" t="s">
        <v>466</v>
      </c>
      <c r="F55" s="13" t="s">
        <v>382</v>
      </c>
      <c r="G55" s="13" t="s">
        <v>367</v>
      </c>
      <c r="H55" s="13"/>
      <c r="J55" s="51" t="str">
        <f t="shared" si="0"/>
        <v>G068.SALP</v>
      </c>
      <c r="K55" s="52" t="str">
        <f t="shared" si="1"/>
        <v>T Bell-ZLR*M1FLATC Mel-Ballarat Sales Conference - Food / Amenities</v>
      </c>
      <c r="L55" s="52" t="s">
        <v>32</v>
      </c>
      <c r="M55" s="53">
        <f t="shared" si="2"/>
        <v>22.9</v>
      </c>
      <c r="N55" s="54" t="s">
        <v>33</v>
      </c>
      <c r="O55" s="44"/>
      <c r="P55" s="54"/>
      <c r="R55" s="21">
        <f t="shared" si="3"/>
        <v>67</v>
      </c>
    </row>
  </sheetData>
  <autoFilter ref="A8:P55" xr:uid="{00000000-0001-0000-0300-000000000000}">
    <sortState xmlns:xlrd2="http://schemas.microsoft.com/office/spreadsheetml/2017/richdata2" ref="A9:P55">
      <sortCondition ref="B8"/>
    </sortState>
  </autoFilter>
  <mergeCells count="5">
    <mergeCell ref="J1:P1"/>
    <mergeCell ref="A4:H4"/>
    <mergeCell ref="J5:Q5"/>
    <mergeCell ref="E6:H7"/>
    <mergeCell ref="A1:H3"/>
  </mergeCells>
  <conditionalFormatting sqref="B17:B55">
    <cfRule type="cellIs" dxfId="23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79998168889431442"/>
  </sheetPr>
  <dimension ref="A1:R35"/>
  <sheetViews>
    <sheetView topLeftCell="C1" workbookViewId="0">
      <selection activeCell="K9" sqref="K9"/>
    </sheetView>
  </sheetViews>
  <sheetFormatPr defaultRowHeight="12.75" x14ac:dyDescent="0.2"/>
  <cols>
    <col min="1" max="1" width="17.42578125" style="3" customWidth="1"/>
    <col min="2" max="2" width="47.42578125" customWidth="1"/>
    <col min="3" max="3" width="13.5703125" customWidth="1"/>
    <col min="4" max="4" width="16.42578125" customWidth="1"/>
    <col min="5" max="5" width="34.42578125" customWidth="1"/>
    <col min="6" max="6" width="14.140625" bestFit="1" customWidth="1"/>
    <col min="7" max="7" width="13.42578125" bestFit="1" customWidth="1"/>
    <col min="8" max="8" width="15.5703125" customWidth="1"/>
    <col min="9" max="9" width="2.42578125" customWidth="1"/>
    <col min="10" max="10" width="21.85546875" bestFit="1" customWidth="1"/>
    <col min="11" max="11" width="42.85546875" bestFit="1" customWidth="1"/>
    <col min="12" max="12" width="4" bestFit="1" customWidth="1"/>
    <col min="15" max="15" width="21.42578125" customWidth="1"/>
    <col min="16" max="16" width="15.85546875" customWidth="1"/>
  </cols>
  <sheetData>
    <row r="1" spans="1:18" ht="12" customHeight="1" x14ac:dyDescent="0.2">
      <c r="A1" s="118" t="s">
        <v>12</v>
      </c>
      <c r="B1" s="119"/>
      <c r="C1" s="119"/>
      <c r="D1" s="119"/>
      <c r="E1" s="119"/>
      <c r="F1" s="119"/>
      <c r="G1" s="119"/>
      <c r="H1" s="119"/>
      <c r="J1" s="113" t="s">
        <v>13</v>
      </c>
      <c r="K1" s="113"/>
      <c r="L1" s="113"/>
      <c r="M1" s="113"/>
      <c r="N1" s="113"/>
      <c r="O1" s="113"/>
      <c r="P1" s="113"/>
    </row>
    <row r="2" spans="1:18" ht="12" customHeight="1" x14ac:dyDescent="0.2">
      <c r="A2" s="118"/>
      <c r="B2" s="119"/>
      <c r="C2" s="119"/>
      <c r="D2" s="119"/>
      <c r="E2" s="119"/>
      <c r="F2" s="119"/>
      <c r="G2" s="119"/>
      <c r="H2" s="119"/>
      <c r="J2" s="74" t="s">
        <v>508</v>
      </c>
      <c r="K2" s="88">
        <v>98.96</v>
      </c>
      <c r="L2" s="74"/>
      <c r="M2" s="74"/>
      <c r="N2" s="74"/>
      <c r="O2" s="74"/>
      <c r="P2" s="74"/>
    </row>
    <row r="3" spans="1:18" ht="12" customHeight="1" x14ac:dyDescent="0.2">
      <c r="A3" s="118"/>
      <c r="B3" s="119"/>
      <c r="C3" s="119"/>
      <c r="D3" s="119"/>
      <c r="E3" s="119"/>
      <c r="F3" s="119"/>
      <c r="G3" s="119"/>
      <c r="H3" s="119"/>
      <c r="J3" t="s">
        <v>509</v>
      </c>
      <c r="K3" s="21">
        <f>SUM(M9:M144)</f>
        <v>98.96</v>
      </c>
      <c r="L3" s="74"/>
      <c r="M3" s="74"/>
      <c r="N3" s="74"/>
      <c r="O3" s="74"/>
      <c r="P3" s="74"/>
    </row>
    <row r="4" spans="1:18" ht="12" customHeight="1" x14ac:dyDescent="0.2">
      <c r="A4" s="114" t="s">
        <v>14</v>
      </c>
      <c r="B4" s="113"/>
      <c r="C4" s="113"/>
      <c r="D4" s="113"/>
      <c r="E4" s="113"/>
      <c r="F4" s="113"/>
      <c r="G4" s="113"/>
      <c r="H4" s="113"/>
      <c r="J4" t="s">
        <v>510</v>
      </c>
      <c r="K4" s="21">
        <f>K2-K3</f>
        <v>0</v>
      </c>
    </row>
    <row r="5" spans="1:18" ht="12" customHeight="1" x14ac:dyDescent="0.2">
      <c r="A5" s="9" t="s">
        <v>3</v>
      </c>
      <c r="B5" s="10" t="str">
        <f>CONCATENATE(Header!$E$4,"BAKER")</f>
        <v>MC-250816BAKER</v>
      </c>
      <c r="C5" s="8"/>
      <c r="D5" s="8"/>
      <c r="E5" s="8"/>
      <c r="J5" s="115" t="s">
        <v>15</v>
      </c>
      <c r="K5" s="115"/>
      <c r="L5" s="115"/>
      <c r="M5" s="115"/>
      <c r="N5" s="115"/>
      <c r="O5" s="115"/>
      <c r="P5" s="115"/>
      <c r="Q5" s="115"/>
    </row>
    <row r="6" spans="1:18" ht="12" customHeight="1" x14ac:dyDescent="0.2">
      <c r="A6" s="9" t="s">
        <v>5</v>
      </c>
      <c r="B6" s="12">
        <f>Header!$E$5</f>
        <v>45885</v>
      </c>
      <c r="C6" s="8"/>
      <c r="D6" s="8"/>
      <c r="E6" s="116" t="s">
        <v>16</v>
      </c>
      <c r="F6" s="116"/>
      <c r="G6" s="116"/>
      <c r="H6" s="116"/>
    </row>
    <row r="7" spans="1:18" ht="12" customHeight="1" thickBot="1" x14ac:dyDescent="0.25">
      <c r="A7" s="11"/>
      <c r="B7" s="8"/>
      <c r="C7" s="8"/>
      <c r="D7" s="8"/>
      <c r="E7" s="117"/>
      <c r="F7" s="117"/>
      <c r="G7" s="117"/>
      <c r="H7" s="117"/>
    </row>
    <row r="8" spans="1:18" ht="45.75" thickBot="1" x14ac:dyDescent="0.25">
      <c r="A8" s="32" t="s">
        <v>17</v>
      </c>
      <c r="B8" s="33" t="s">
        <v>18</v>
      </c>
      <c r="C8" s="33" t="s">
        <v>19</v>
      </c>
      <c r="D8" s="33" t="s">
        <v>20</v>
      </c>
      <c r="E8" s="19" t="s">
        <v>21</v>
      </c>
      <c r="F8" s="16" t="s">
        <v>22</v>
      </c>
      <c r="G8" s="17" t="s">
        <v>23</v>
      </c>
      <c r="H8" s="18" t="s">
        <v>24</v>
      </c>
      <c r="J8" s="32" t="s">
        <v>25</v>
      </c>
      <c r="K8" s="33" t="s">
        <v>3</v>
      </c>
      <c r="L8" s="33" t="s">
        <v>26</v>
      </c>
      <c r="M8" s="33" t="s">
        <v>27</v>
      </c>
      <c r="N8" s="34" t="s">
        <v>28</v>
      </c>
      <c r="O8" s="34" t="s">
        <v>29</v>
      </c>
      <c r="P8" s="34" t="s">
        <v>30</v>
      </c>
      <c r="R8" s="90" t="s">
        <v>511</v>
      </c>
    </row>
    <row r="9" spans="1:18" ht="15.75" thickBot="1" x14ac:dyDescent="0.25">
      <c r="A9" s="45">
        <v>45862</v>
      </c>
      <c r="B9" s="45" t="s">
        <v>31</v>
      </c>
      <c r="C9" s="46">
        <v>98.96</v>
      </c>
      <c r="D9" s="46"/>
      <c r="E9" s="14" t="s">
        <v>496</v>
      </c>
      <c r="F9" s="49">
        <v>1073</v>
      </c>
      <c r="G9" s="14" t="s">
        <v>234</v>
      </c>
      <c r="H9" s="15"/>
      <c r="J9" s="51" t="str">
        <f>IF(F9&gt;0,(_xlfn.CONCAT(F9,".",G9)),H9)</f>
        <v>1073.TOOL</v>
      </c>
      <c r="K9" s="52" t="str">
        <f>_xlfn.CONCAT("S Baker-",(LEFT(B9,15)),"-",E9)</f>
        <v>S Baker-BUNNINGS 329000-Delivery team tools - fire blanket</v>
      </c>
      <c r="L9" s="52" t="s">
        <v>32</v>
      </c>
      <c r="M9" s="53">
        <f>IF(C9&gt;0,C9,-D9)</f>
        <v>98.96</v>
      </c>
      <c r="N9" s="54" t="s">
        <v>33</v>
      </c>
      <c r="O9" s="44"/>
      <c r="P9" s="55"/>
      <c r="Q9" t="s">
        <v>34</v>
      </c>
      <c r="R9" s="21">
        <f>LEN(K9)</f>
        <v>58</v>
      </c>
    </row>
    <row r="10" spans="1:18" ht="15.75" thickBot="1" x14ac:dyDescent="0.25">
      <c r="A10" s="47"/>
      <c r="B10" s="47"/>
      <c r="C10" s="48"/>
      <c r="D10" s="48"/>
      <c r="E10" s="13"/>
      <c r="F10" s="13"/>
      <c r="G10" s="13"/>
      <c r="H10" s="50"/>
      <c r="J10" s="51"/>
      <c r="K10" s="52"/>
      <c r="L10" s="52"/>
      <c r="M10" s="53"/>
      <c r="N10" s="54"/>
      <c r="O10" s="44"/>
      <c r="P10" s="54"/>
      <c r="R10" s="21">
        <f t="shared" ref="R10:R35" si="0">LEN(K10)</f>
        <v>0</v>
      </c>
    </row>
    <row r="11" spans="1:18" ht="15.75" thickBot="1" x14ac:dyDescent="0.25">
      <c r="A11" s="47"/>
      <c r="B11" s="47"/>
      <c r="C11" s="48"/>
      <c r="D11" s="48"/>
      <c r="E11" s="13"/>
      <c r="F11" s="50"/>
      <c r="G11" s="50"/>
      <c r="H11" s="13"/>
      <c r="J11" s="51"/>
      <c r="K11" s="52"/>
      <c r="L11" s="52"/>
      <c r="M11" s="53"/>
      <c r="N11" s="54"/>
      <c r="O11" s="44"/>
      <c r="P11" s="54"/>
      <c r="R11" s="21">
        <f t="shared" si="0"/>
        <v>0</v>
      </c>
    </row>
    <row r="12" spans="1:18" ht="15.75" thickBot="1" x14ac:dyDescent="0.25">
      <c r="A12" s="47"/>
      <c r="B12" s="47"/>
      <c r="C12" s="48"/>
      <c r="D12" s="48"/>
      <c r="E12" s="13"/>
      <c r="F12" s="13"/>
      <c r="G12" s="13"/>
      <c r="H12" s="50"/>
      <c r="J12" s="51"/>
      <c r="K12" s="52"/>
      <c r="L12" s="52"/>
      <c r="M12" s="53"/>
      <c r="N12" s="54"/>
      <c r="O12" s="44"/>
      <c r="P12" s="54"/>
      <c r="R12" s="21">
        <f t="shared" si="0"/>
        <v>0</v>
      </c>
    </row>
    <row r="13" spans="1:18" ht="15.75" thickBot="1" x14ac:dyDescent="0.25">
      <c r="A13" s="47"/>
      <c r="B13" s="47"/>
      <c r="C13" s="48"/>
      <c r="D13" s="48"/>
      <c r="E13" s="13"/>
      <c r="F13" s="13"/>
      <c r="G13" s="13"/>
      <c r="H13" s="13"/>
      <c r="J13" s="51"/>
      <c r="K13" s="52"/>
      <c r="L13" s="52"/>
      <c r="M13" s="53"/>
      <c r="N13" s="54"/>
      <c r="O13" s="44"/>
      <c r="P13" s="54"/>
      <c r="R13" s="21">
        <f t="shared" si="0"/>
        <v>0</v>
      </c>
    </row>
    <row r="14" spans="1:18" ht="15.75" thickBot="1" x14ac:dyDescent="0.25">
      <c r="A14" s="47"/>
      <c r="B14" s="47"/>
      <c r="C14" s="48"/>
      <c r="D14" s="48"/>
      <c r="E14" s="13"/>
      <c r="F14" s="13"/>
      <c r="G14" s="13"/>
      <c r="H14" s="13"/>
      <c r="J14" s="51"/>
      <c r="K14" s="52"/>
      <c r="L14" s="52"/>
      <c r="M14" s="53"/>
      <c r="N14" s="54"/>
      <c r="O14" s="44"/>
      <c r="P14" s="54"/>
      <c r="R14" s="21">
        <f t="shared" si="0"/>
        <v>0</v>
      </c>
    </row>
    <row r="15" spans="1:18" ht="15.75" thickBot="1" x14ac:dyDescent="0.25">
      <c r="A15" s="47"/>
      <c r="B15" s="47"/>
      <c r="C15" s="48"/>
      <c r="D15" s="48"/>
      <c r="E15" s="13"/>
      <c r="F15" s="13"/>
      <c r="G15" s="13"/>
      <c r="H15" s="13"/>
      <c r="J15" s="51"/>
      <c r="K15" s="52"/>
      <c r="L15" s="52"/>
      <c r="M15" s="53"/>
      <c r="N15" s="54"/>
      <c r="O15" s="44"/>
      <c r="P15" s="54"/>
      <c r="R15" s="21">
        <f t="shared" si="0"/>
        <v>0</v>
      </c>
    </row>
    <row r="16" spans="1:18" ht="15.75" thickBot="1" x14ac:dyDescent="0.25">
      <c r="A16" s="47"/>
      <c r="B16" s="47"/>
      <c r="C16" s="48"/>
      <c r="D16" s="48"/>
      <c r="E16" s="13"/>
      <c r="F16" s="13"/>
      <c r="G16" s="13"/>
      <c r="H16" s="13"/>
      <c r="J16" s="51"/>
      <c r="K16" s="52"/>
      <c r="L16" s="52"/>
      <c r="M16" s="53"/>
      <c r="N16" s="54"/>
      <c r="O16" s="44"/>
      <c r="P16" s="54"/>
      <c r="R16" s="21">
        <f t="shared" si="0"/>
        <v>0</v>
      </c>
    </row>
    <row r="17" spans="18:18" x14ac:dyDescent="0.2">
      <c r="R17" s="21">
        <f t="shared" si="0"/>
        <v>0</v>
      </c>
    </row>
    <row r="18" spans="18:18" x14ac:dyDescent="0.2">
      <c r="R18" s="21">
        <f t="shared" si="0"/>
        <v>0</v>
      </c>
    </row>
    <row r="19" spans="18:18" x14ac:dyDescent="0.2">
      <c r="R19" s="21">
        <f t="shared" si="0"/>
        <v>0</v>
      </c>
    </row>
    <row r="20" spans="18:18" x14ac:dyDescent="0.2">
      <c r="R20" s="21">
        <f t="shared" si="0"/>
        <v>0</v>
      </c>
    </row>
    <row r="21" spans="18:18" x14ac:dyDescent="0.2">
      <c r="R21" s="21">
        <f t="shared" si="0"/>
        <v>0</v>
      </c>
    </row>
    <row r="22" spans="18:18" x14ac:dyDescent="0.2">
      <c r="R22" s="21">
        <f t="shared" si="0"/>
        <v>0</v>
      </c>
    </row>
    <row r="23" spans="18:18" x14ac:dyDescent="0.2">
      <c r="R23" s="21">
        <f t="shared" si="0"/>
        <v>0</v>
      </c>
    </row>
    <row r="24" spans="18:18" x14ac:dyDescent="0.2">
      <c r="R24" s="21">
        <f t="shared" si="0"/>
        <v>0</v>
      </c>
    </row>
    <row r="25" spans="18:18" x14ac:dyDescent="0.2">
      <c r="R25" s="21">
        <f t="shared" si="0"/>
        <v>0</v>
      </c>
    </row>
    <row r="26" spans="18:18" x14ac:dyDescent="0.2">
      <c r="R26" s="21">
        <f t="shared" si="0"/>
        <v>0</v>
      </c>
    </row>
    <row r="27" spans="18:18" x14ac:dyDescent="0.2">
      <c r="R27" s="21">
        <f t="shared" si="0"/>
        <v>0</v>
      </c>
    </row>
    <row r="28" spans="18:18" x14ac:dyDescent="0.2">
      <c r="R28" s="21">
        <f t="shared" si="0"/>
        <v>0</v>
      </c>
    </row>
    <row r="29" spans="18:18" x14ac:dyDescent="0.2">
      <c r="R29" s="21">
        <f t="shared" si="0"/>
        <v>0</v>
      </c>
    </row>
    <row r="30" spans="18:18" x14ac:dyDescent="0.2">
      <c r="R30" s="21">
        <f t="shared" si="0"/>
        <v>0</v>
      </c>
    </row>
    <row r="31" spans="18:18" x14ac:dyDescent="0.2">
      <c r="R31" s="21">
        <f t="shared" si="0"/>
        <v>0</v>
      </c>
    </row>
    <row r="32" spans="18:18" x14ac:dyDescent="0.2">
      <c r="R32" s="21">
        <f t="shared" si="0"/>
        <v>0</v>
      </c>
    </row>
    <row r="33" spans="18:18" x14ac:dyDescent="0.2">
      <c r="R33" s="21">
        <f t="shared" si="0"/>
        <v>0</v>
      </c>
    </row>
    <row r="34" spans="18:18" x14ac:dyDescent="0.2">
      <c r="R34" s="21">
        <f t="shared" si="0"/>
        <v>0</v>
      </c>
    </row>
    <row r="35" spans="18:18" x14ac:dyDescent="0.2">
      <c r="R35" s="21">
        <f t="shared" si="0"/>
        <v>0</v>
      </c>
    </row>
  </sheetData>
  <mergeCells count="5">
    <mergeCell ref="A4:H4"/>
    <mergeCell ref="E6:H7"/>
    <mergeCell ref="J5:Q5"/>
    <mergeCell ref="J1:P1"/>
    <mergeCell ref="A1:H3"/>
  </mergeCells>
  <conditionalFormatting sqref="B16:B48">
    <cfRule type="cellIs" dxfId="22" priority="1" operator="lessThan">
      <formula>0</formula>
    </cfRule>
  </conditionalFormatting>
  <dataValidations count="1">
    <dataValidation type="list" allowBlank="1" showInputMessage="1" showErrorMessage="1" sqref="C16:C48" xr:uid="{85CA19A3-6BA9-4A9F-A59E-70943E632ED4}">
      <formula1>"GST 10%, GST FREE"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3F7DC-8034-4B17-A609-01AD0BF2215B}">
  <sheetPr>
    <tabColor theme="9" tint="0.79998168889431442"/>
  </sheetPr>
  <dimension ref="A1:R35"/>
  <sheetViews>
    <sheetView topLeftCell="C1" workbookViewId="0">
      <selection activeCell="K15" sqref="K15"/>
    </sheetView>
  </sheetViews>
  <sheetFormatPr defaultRowHeight="12.75" x14ac:dyDescent="0.2"/>
  <cols>
    <col min="1" max="1" width="17.42578125" style="3" customWidth="1"/>
    <col min="2" max="2" width="47.42578125" customWidth="1"/>
    <col min="3" max="3" width="13.5703125" customWidth="1"/>
    <col min="4" max="4" width="16.42578125" customWidth="1"/>
    <col min="5" max="5" width="11.85546875" customWidth="1"/>
    <col min="6" max="6" width="14.140625" bestFit="1" customWidth="1"/>
    <col min="7" max="7" width="13.42578125" bestFit="1" customWidth="1"/>
    <col min="8" max="8" width="15.5703125" customWidth="1"/>
    <col min="9" max="9" width="2.42578125" customWidth="1"/>
    <col min="10" max="10" width="21.85546875" bestFit="1" customWidth="1"/>
    <col min="11" max="11" width="42.85546875" bestFit="1" customWidth="1"/>
    <col min="12" max="12" width="4" bestFit="1" customWidth="1"/>
    <col min="15" max="15" width="21.42578125" customWidth="1"/>
    <col min="16" max="16" width="15.85546875" customWidth="1"/>
  </cols>
  <sheetData>
    <row r="1" spans="1:18" ht="12" customHeight="1" x14ac:dyDescent="0.2">
      <c r="A1" s="118" t="s">
        <v>12</v>
      </c>
      <c r="B1" s="119"/>
      <c r="C1" s="119"/>
      <c r="D1" s="119"/>
      <c r="E1" s="119"/>
      <c r="F1" s="119"/>
      <c r="G1" s="119"/>
      <c r="H1" s="119"/>
      <c r="J1" s="113" t="s">
        <v>13</v>
      </c>
      <c r="K1" s="113"/>
      <c r="L1" s="113"/>
      <c r="M1" s="113"/>
      <c r="N1" s="113"/>
      <c r="O1" s="113"/>
      <c r="P1" s="113"/>
    </row>
    <row r="2" spans="1:18" ht="12" customHeight="1" x14ac:dyDescent="0.2">
      <c r="A2" s="118"/>
      <c r="B2" s="119"/>
      <c r="C2" s="119"/>
      <c r="D2" s="119"/>
      <c r="E2" s="119"/>
      <c r="F2" s="119"/>
      <c r="G2" s="119"/>
      <c r="H2" s="119"/>
      <c r="J2" s="74" t="s">
        <v>508</v>
      </c>
      <c r="K2" s="88">
        <v>532.97</v>
      </c>
      <c r="L2" s="74"/>
      <c r="M2" s="74"/>
      <c r="N2" s="74"/>
      <c r="O2" s="74"/>
      <c r="P2" s="74"/>
    </row>
    <row r="3" spans="1:18" ht="12" customHeight="1" x14ac:dyDescent="0.2">
      <c r="A3" s="118"/>
      <c r="B3" s="119"/>
      <c r="C3" s="119"/>
      <c r="D3" s="119"/>
      <c r="E3" s="119"/>
      <c r="F3" s="119"/>
      <c r="G3" s="119"/>
      <c r="H3" s="119"/>
      <c r="J3" t="s">
        <v>509</v>
      </c>
      <c r="K3" s="21">
        <f>SUM(M9:M144)</f>
        <v>532.97</v>
      </c>
      <c r="L3" s="74"/>
      <c r="M3" s="74"/>
      <c r="N3" s="74"/>
      <c r="O3" s="74"/>
      <c r="P3" s="74"/>
    </row>
    <row r="4" spans="1:18" ht="12" customHeight="1" x14ac:dyDescent="0.2">
      <c r="A4" s="114" t="s">
        <v>35</v>
      </c>
      <c r="B4" s="113"/>
      <c r="C4" s="113"/>
      <c r="D4" s="113"/>
      <c r="E4" s="113"/>
      <c r="F4" s="113"/>
      <c r="G4" s="113"/>
      <c r="H4" s="113"/>
      <c r="J4" t="s">
        <v>510</v>
      </c>
      <c r="K4" s="21">
        <f>K2-K3</f>
        <v>0</v>
      </c>
    </row>
    <row r="5" spans="1:18" ht="12" customHeight="1" x14ac:dyDescent="0.2">
      <c r="A5" s="9" t="s">
        <v>3</v>
      </c>
      <c r="B5" s="10" t="str">
        <f>CONCATENATE(Header!$E$4,"Barclay")</f>
        <v>MC-250816Barclay</v>
      </c>
      <c r="C5" s="8"/>
      <c r="D5" s="8"/>
      <c r="E5" s="8"/>
      <c r="J5" s="115" t="s">
        <v>15</v>
      </c>
      <c r="K5" s="115"/>
      <c r="L5" s="115"/>
      <c r="M5" s="115"/>
      <c r="N5" s="115"/>
      <c r="O5" s="115"/>
      <c r="P5" s="115"/>
      <c r="Q5" s="115"/>
    </row>
    <row r="6" spans="1:18" ht="12" customHeight="1" x14ac:dyDescent="0.2">
      <c r="A6" s="9" t="s">
        <v>5</v>
      </c>
      <c r="B6" s="12">
        <f>Header!$E$5</f>
        <v>45885</v>
      </c>
      <c r="C6" s="8"/>
      <c r="D6" s="8"/>
      <c r="E6" s="116" t="s">
        <v>16</v>
      </c>
      <c r="F6" s="116"/>
      <c r="G6" s="116"/>
      <c r="H6" s="116"/>
    </row>
    <row r="7" spans="1:18" ht="12" customHeight="1" thickBot="1" x14ac:dyDescent="0.25">
      <c r="A7" s="11"/>
      <c r="B7" s="8"/>
      <c r="C7" s="8"/>
      <c r="D7" s="8"/>
      <c r="E7" s="117"/>
      <c r="F7" s="117"/>
      <c r="G7" s="117"/>
      <c r="H7" s="117"/>
    </row>
    <row r="8" spans="1:18" ht="45.75" thickBot="1" x14ac:dyDescent="0.25">
      <c r="A8" s="32" t="s">
        <v>17</v>
      </c>
      <c r="B8" s="33" t="s">
        <v>18</v>
      </c>
      <c r="C8" s="33" t="s">
        <v>19</v>
      </c>
      <c r="D8" s="33" t="s">
        <v>20</v>
      </c>
      <c r="E8" s="19" t="s">
        <v>36</v>
      </c>
      <c r="F8" s="16" t="s">
        <v>22</v>
      </c>
      <c r="G8" s="17" t="s">
        <v>23</v>
      </c>
      <c r="H8" s="18" t="s">
        <v>24</v>
      </c>
      <c r="J8" s="32" t="s">
        <v>25</v>
      </c>
      <c r="K8" s="33" t="s">
        <v>3</v>
      </c>
      <c r="L8" s="33" t="s">
        <v>26</v>
      </c>
      <c r="M8" s="33" t="s">
        <v>27</v>
      </c>
      <c r="N8" s="34" t="s">
        <v>28</v>
      </c>
      <c r="O8" s="34" t="s">
        <v>29</v>
      </c>
      <c r="P8" s="34" t="s">
        <v>30</v>
      </c>
      <c r="R8" s="90" t="s">
        <v>511</v>
      </c>
    </row>
    <row r="9" spans="1:18" ht="15.75" thickBot="1" x14ac:dyDescent="0.25">
      <c r="A9" s="45">
        <v>45884</v>
      </c>
      <c r="B9" s="45" t="s">
        <v>37</v>
      </c>
      <c r="C9" s="46">
        <v>216.27</v>
      </c>
      <c r="D9" s="46"/>
      <c r="E9" s="14" t="s">
        <v>460</v>
      </c>
      <c r="F9" s="49">
        <v>1084</v>
      </c>
      <c r="G9" s="14" t="s">
        <v>126</v>
      </c>
      <c r="H9" s="15"/>
      <c r="J9" s="51" t="str">
        <f t="shared" ref="J9:J14" si="0">IF(F9&gt;0,(_xlfn.CONCAT(F9,".",G9)),H9)</f>
        <v>1084.STAF</v>
      </c>
      <c r="K9" s="52" t="str">
        <f>_xlfn.CONCAT("S Barclay-",(LEFT(B9,15)),"-",E9)</f>
        <v>S Barclay-WOOLWORTHS     -Pantry supplies</v>
      </c>
      <c r="L9" s="52" t="s">
        <v>32</v>
      </c>
      <c r="M9" s="53">
        <f>IF(C9&gt;0,C9,-D9)</f>
        <v>216.27</v>
      </c>
      <c r="N9" s="54" t="s">
        <v>33</v>
      </c>
      <c r="O9" s="44"/>
      <c r="P9" s="55"/>
      <c r="Q9" t="s">
        <v>34</v>
      </c>
      <c r="R9" s="21">
        <f>LEN(K9)</f>
        <v>41</v>
      </c>
    </row>
    <row r="10" spans="1:18" ht="15.75" thickBot="1" x14ac:dyDescent="0.25">
      <c r="A10" s="47">
        <v>45876</v>
      </c>
      <c r="B10" s="47" t="s">
        <v>37</v>
      </c>
      <c r="C10" s="48">
        <v>93.93</v>
      </c>
      <c r="D10" s="48"/>
      <c r="E10" s="82" t="s">
        <v>461</v>
      </c>
      <c r="F10" s="86" t="s">
        <v>71</v>
      </c>
      <c r="G10" s="13" t="s">
        <v>126</v>
      </c>
      <c r="H10" s="50"/>
      <c r="J10" s="51" t="str">
        <f t="shared" si="0"/>
        <v>1084.STAF</v>
      </c>
      <c r="K10" s="52" t="str">
        <f t="shared" ref="K10:K14" si="1">_xlfn.CONCAT("S Barclay-",(LEFT(B10,15)),"-",E10)</f>
        <v>S Barclay-WOOLWORTHS     -Pantry Supplies</v>
      </c>
      <c r="L10" s="52" t="s">
        <v>32</v>
      </c>
      <c r="M10" s="53">
        <f t="shared" ref="M10:M14" si="2">IF(C10&gt;0,C10,-D10)</f>
        <v>93.93</v>
      </c>
      <c r="N10" s="54" t="s">
        <v>33</v>
      </c>
      <c r="O10" s="44"/>
      <c r="P10" s="54"/>
      <c r="R10" s="21">
        <f t="shared" ref="R10:R35" si="3">LEN(K10)</f>
        <v>41</v>
      </c>
    </row>
    <row r="11" spans="1:18" ht="15.75" thickBot="1" x14ac:dyDescent="0.25">
      <c r="A11" s="47">
        <v>45871</v>
      </c>
      <c r="B11" s="47" t="s">
        <v>38</v>
      </c>
      <c r="C11" s="48">
        <v>33.92</v>
      </c>
      <c r="D11" s="48"/>
      <c r="E11" s="13" t="s">
        <v>462</v>
      </c>
      <c r="F11" s="50">
        <v>1073</v>
      </c>
      <c r="G11" s="50" t="s">
        <v>497</v>
      </c>
      <c r="H11" s="13"/>
      <c r="J11" s="51" t="str">
        <f>IF(F11&gt;0,(_xlfn.CONCAT(F11,".",G11)),H11)</f>
        <v>1073.MVPT</v>
      </c>
      <c r="K11" s="52" t="str">
        <f t="shared" si="1"/>
        <v>S Barclay-LINKT MELBOURNE-Toll</v>
      </c>
      <c r="L11" s="52" t="s">
        <v>32</v>
      </c>
      <c r="M11" s="53">
        <f t="shared" si="2"/>
        <v>33.92</v>
      </c>
      <c r="N11" s="54" t="s">
        <v>33</v>
      </c>
      <c r="O11" s="44"/>
      <c r="P11" s="54"/>
      <c r="R11" s="21">
        <f t="shared" si="3"/>
        <v>30</v>
      </c>
    </row>
    <row r="12" spans="1:18" ht="15.75" thickBot="1" x14ac:dyDescent="0.25">
      <c r="A12" s="47">
        <v>45869</v>
      </c>
      <c r="B12" s="47" t="s">
        <v>39</v>
      </c>
      <c r="C12" s="48">
        <v>58</v>
      </c>
      <c r="D12" s="48"/>
      <c r="E12" s="13" t="s">
        <v>459</v>
      </c>
      <c r="F12" s="86" t="s">
        <v>71</v>
      </c>
      <c r="G12" s="13" t="s">
        <v>498</v>
      </c>
      <c r="H12" s="50"/>
      <c r="J12" s="51" t="str">
        <f t="shared" si="0"/>
        <v>1084.STAT</v>
      </c>
      <c r="K12" s="52" t="str">
        <f t="shared" si="1"/>
        <v>S Barclay-OFFICEWORKS 036-Stationary</v>
      </c>
      <c r="L12" s="52" t="s">
        <v>32</v>
      </c>
      <c r="M12" s="53">
        <f t="shared" si="2"/>
        <v>58</v>
      </c>
      <c r="N12" s="54" t="s">
        <v>33</v>
      </c>
      <c r="O12" s="44"/>
      <c r="P12" s="54"/>
      <c r="R12" s="21">
        <f t="shared" si="3"/>
        <v>36</v>
      </c>
    </row>
    <row r="13" spans="1:18" ht="23.25" thickBot="1" x14ac:dyDescent="0.25">
      <c r="A13" s="47">
        <v>45868</v>
      </c>
      <c r="B13" s="47" t="s">
        <v>40</v>
      </c>
      <c r="C13" s="48">
        <v>77.5</v>
      </c>
      <c r="D13" s="48"/>
      <c r="E13" s="82" t="s">
        <v>463</v>
      </c>
      <c r="F13" s="86" t="s">
        <v>500</v>
      </c>
      <c r="G13" s="13" t="s">
        <v>116</v>
      </c>
      <c r="H13" s="13"/>
      <c r="J13" s="51" t="str">
        <f t="shared" si="0"/>
        <v>1077.ENON</v>
      </c>
      <c r="K13" s="52" t="str">
        <f t="shared" si="1"/>
        <v>S Barclay-J AND M CATERIN-Stocktake catering</v>
      </c>
      <c r="L13" s="52" t="s">
        <v>32</v>
      </c>
      <c r="M13" s="53">
        <f t="shared" si="2"/>
        <v>77.5</v>
      </c>
      <c r="N13" s="54" t="s">
        <v>33</v>
      </c>
      <c r="O13" s="44"/>
      <c r="P13" s="54"/>
      <c r="R13" s="21">
        <f t="shared" si="3"/>
        <v>44</v>
      </c>
    </row>
    <row r="14" spans="1:18" ht="15.75" thickBot="1" x14ac:dyDescent="0.25">
      <c r="A14" s="47">
        <v>45866</v>
      </c>
      <c r="B14" s="47" t="s">
        <v>31</v>
      </c>
      <c r="C14" s="48">
        <v>53.35</v>
      </c>
      <c r="D14" s="48"/>
      <c r="E14" s="13"/>
      <c r="F14" s="86" t="s">
        <v>499</v>
      </c>
      <c r="G14" s="13" t="s">
        <v>234</v>
      </c>
      <c r="H14" s="13"/>
      <c r="J14" s="51" t="str">
        <f t="shared" si="0"/>
        <v>1073.TOOL</v>
      </c>
      <c r="K14" s="52" t="str">
        <f t="shared" si="1"/>
        <v>S Barclay-BUNNINGS 329000-</v>
      </c>
      <c r="L14" s="52" t="s">
        <v>32</v>
      </c>
      <c r="M14" s="53">
        <f t="shared" si="2"/>
        <v>53.35</v>
      </c>
      <c r="N14" s="54" t="s">
        <v>33</v>
      </c>
      <c r="O14" s="44"/>
      <c r="P14" s="54"/>
      <c r="R14" s="21">
        <f t="shared" si="3"/>
        <v>26</v>
      </c>
    </row>
    <row r="15" spans="1:18" ht="15.75" thickBot="1" x14ac:dyDescent="0.25">
      <c r="A15" s="47"/>
      <c r="B15" s="47"/>
      <c r="C15" s="48"/>
      <c r="D15" s="48"/>
      <c r="E15" s="13"/>
      <c r="F15" s="13"/>
      <c r="G15" s="13"/>
      <c r="H15" s="13"/>
      <c r="J15" s="51"/>
      <c r="K15" s="52"/>
      <c r="L15" s="52"/>
      <c r="M15" s="53"/>
      <c r="N15" s="54"/>
      <c r="O15" s="44"/>
      <c r="P15" s="54"/>
      <c r="R15" s="21">
        <f t="shared" si="3"/>
        <v>0</v>
      </c>
    </row>
    <row r="16" spans="1:18" ht="15.75" thickBot="1" x14ac:dyDescent="0.25">
      <c r="A16" s="47"/>
      <c r="B16" s="47"/>
      <c r="C16" s="48"/>
      <c r="D16" s="48"/>
      <c r="E16" s="13"/>
      <c r="F16" s="13"/>
      <c r="G16" s="13"/>
      <c r="H16" s="13"/>
      <c r="J16" s="51"/>
      <c r="K16" s="52"/>
      <c r="L16" s="52"/>
      <c r="M16" s="53"/>
      <c r="N16" s="54"/>
      <c r="O16" s="44"/>
      <c r="P16" s="54"/>
      <c r="R16" s="21">
        <f t="shared" si="3"/>
        <v>0</v>
      </c>
    </row>
    <row r="17" spans="18:18" x14ac:dyDescent="0.2">
      <c r="R17" s="21">
        <f t="shared" si="3"/>
        <v>0</v>
      </c>
    </row>
    <row r="18" spans="18:18" x14ac:dyDescent="0.2">
      <c r="R18" s="21">
        <f t="shared" si="3"/>
        <v>0</v>
      </c>
    </row>
    <row r="19" spans="18:18" x14ac:dyDescent="0.2">
      <c r="R19" s="21">
        <f t="shared" si="3"/>
        <v>0</v>
      </c>
    </row>
    <row r="20" spans="18:18" x14ac:dyDescent="0.2">
      <c r="R20" s="21">
        <f t="shared" si="3"/>
        <v>0</v>
      </c>
    </row>
    <row r="21" spans="18:18" x14ac:dyDescent="0.2">
      <c r="R21" s="21">
        <f t="shared" si="3"/>
        <v>0</v>
      </c>
    </row>
    <row r="22" spans="18:18" x14ac:dyDescent="0.2">
      <c r="R22" s="21">
        <f t="shared" si="3"/>
        <v>0</v>
      </c>
    </row>
    <row r="23" spans="18:18" x14ac:dyDescent="0.2">
      <c r="R23" s="21">
        <f t="shared" si="3"/>
        <v>0</v>
      </c>
    </row>
    <row r="24" spans="18:18" x14ac:dyDescent="0.2">
      <c r="R24" s="21">
        <f t="shared" si="3"/>
        <v>0</v>
      </c>
    </row>
    <row r="25" spans="18:18" x14ac:dyDescent="0.2">
      <c r="R25" s="21">
        <f t="shared" si="3"/>
        <v>0</v>
      </c>
    </row>
    <row r="26" spans="18:18" x14ac:dyDescent="0.2">
      <c r="R26" s="21">
        <f t="shared" si="3"/>
        <v>0</v>
      </c>
    </row>
    <row r="27" spans="18:18" x14ac:dyDescent="0.2">
      <c r="R27" s="21">
        <f t="shared" si="3"/>
        <v>0</v>
      </c>
    </row>
    <row r="28" spans="18:18" x14ac:dyDescent="0.2">
      <c r="R28" s="21">
        <f t="shared" si="3"/>
        <v>0</v>
      </c>
    </row>
    <row r="29" spans="18:18" x14ac:dyDescent="0.2">
      <c r="R29" s="21">
        <f t="shared" si="3"/>
        <v>0</v>
      </c>
    </row>
    <row r="30" spans="18:18" x14ac:dyDescent="0.2">
      <c r="R30" s="21">
        <f t="shared" si="3"/>
        <v>0</v>
      </c>
    </row>
    <row r="31" spans="18:18" x14ac:dyDescent="0.2">
      <c r="R31" s="21">
        <f t="shared" si="3"/>
        <v>0</v>
      </c>
    </row>
    <row r="32" spans="18:18" x14ac:dyDescent="0.2">
      <c r="R32" s="21">
        <f t="shared" si="3"/>
        <v>0</v>
      </c>
    </row>
    <row r="33" spans="18:18" x14ac:dyDescent="0.2">
      <c r="R33" s="21">
        <f t="shared" si="3"/>
        <v>0</v>
      </c>
    </row>
    <row r="34" spans="18:18" x14ac:dyDescent="0.2">
      <c r="R34" s="21">
        <f t="shared" si="3"/>
        <v>0</v>
      </c>
    </row>
    <row r="35" spans="18:18" x14ac:dyDescent="0.2">
      <c r="R35" s="21">
        <f t="shared" si="3"/>
        <v>0</v>
      </c>
    </row>
  </sheetData>
  <mergeCells count="5">
    <mergeCell ref="J1:P1"/>
    <mergeCell ref="A4:H4"/>
    <mergeCell ref="J5:Q5"/>
    <mergeCell ref="E6:H7"/>
    <mergeCell ref="A1:H3"/>
  </mergeCells>
  <conditionalFormatting sqref="B16:B48">
    <cfRule type="cellIs" dxfId="21" priority="1" operator="lessThan">
      <formula>0</formula>
    </cfRule>
  </conditionalFormatting>
  <dataValidations count="1">
    <dataValidation type="list" allowBlank="1" showInputMessage="1" showErrorMessage="1" sqref="C16:C48" xr:uid="{A5E5ED7A-00DC-412E-8C3D-C3BDA504CF1F}">
      <formula1>"GST 10%, GST FREE"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79998168889431442"/>
  </sheetPr>
  <dimension ref="A1:R35"/>
  <sheetViews>
    <sheetView topLeftCell="C11" workbookViewId="0">
      <selection activeCell="K9" sqref="K9:K29"/>
    </sheetView>
  </sheetViews>
  <sheetFormatPr defaultRowHeight="12.75" x14ac:dyDescent="0.2"/>
  <cols>
    <col min="1" max="1" width="17.42578125" style="3" customWidth="1"/>
    <col min="2" max="2" width="47.42578125" customWidth="1"/>
    <col min="3" max="3" width="13.5703125" customWidth="1"/>
    <col min="4" max="4" width="16.42578125" customWidth="1"/>
    <col min="5" max="5" width="25.140625" customWidth="1"/>
    <col min="6" max="6" width="14.7109375" bestFit="1" customWidth="1"/>
    <col min="7" max="7" width="13.42578125" bestFit="1" customWidth="1"/>
    <col min="8" max="8" width="15.5703125" customWidth="1"/>
    <col min="9" max="9" width="2.42578125" customWidth="1"/>
    <col min="10" max="10" width="21.85546875" bestFit="1" customWidth="1"/>
    <col min="11" max="11" width="54.28515625" customWidth="1"/>
    <col min="12" max="12" width="4" bestFit="1" customWidth="1"/>
    <col min="15" max="15" width="21.42578125" customWidth="1"/>
    <col min="16" max="16" width="15.85546875" customWidth="1"/>
  </cols>
  <sheetData>
    <row r="1" spans="1:18" ht="12" customHeight="1" x14ac:dyDescent="0.2">
      <c r="A1" s="118" t="s">
        <v>12</v>
      </c>
      <c r="B1" s="119"/>
      <c r="C1" s="119"/>
      <c r="D1" s="119"/>
      <c r="E1" s="119"/>
      <c r="F1" s="119"/>
      <c r="G1" s="119"/>
      <c r="H1" s="119"/>
      <c r="J1" s="113" t="s">
        <v>13</v>
      </c>
      <c r="K1" s="113"/>
      <c r="L1" s="113"/>
      <c r="M1" s="113"/>
      <c r="N1" s="113"/>
      <c r="O1" s="113"/>
      <c r="P1" s="113"/>
    </row>
    <row r="2" spans="1:18" ht="12" customHeight="1" x14ac:dyDescent="0.2">
      <c r="A2" s="118"/>
      <c r="B2" s="119"/>
      <c r="C2" s="119"/>
      <c r="D2" s="119"/>
      <c r="E2" s="119"/>
      <c r="F2" s="119"/>
      <c r="G2" s="119"/>
      <c r="H2" s="119"/>
      <c r="J2" s="74" t="s">
        <v>508</v>
      </c>
      <c r="K2" s="88">
        <v>2525.33</v>
      </c>
      <c r="L2" s="74"/>
      <c r="M2" s="74"/>
      <c r="N2" s="74"/>
      <c r="O2" s="74"/>
      <c r="P2" s="74"/>
    </row>
    <row r="3" spans="1:18" ht="12" customHeight="1" x14ac:dyDescent="0.2">
      <c r="A3" s="118"/>
      <c r="B3" s="119"/>
      <c r="C3" s="119"/>
      <c r="D3" s="119"/>
      <c r="E3" s="119"/>
      <c r="F3" s="119"/>
      <c r="G3" s="119"/>
      <c r="H3" s="119"/>
      <c r="J3" t="s">
        <v>509</v>
      </c>
      <c r="K3" s="21">
        <f>SUM(M9:M144)</f>
        <v>2525.3299999999995</v>
      </c>
      <c r="L3" s="74"/>
      <c r="M3" s="74"/>
      <c r="N3" s="74"/>
      <c r="O3" s="74"/>
      <c r="P3" s="74"/>
    </row>
    <row r="4" spans="1:18" ht="12" customHeight="1" x14ac:dyDescent="0.2">
      <c r="A4" s="114" t="s">
        <v>69</v>
      </c>
      <c r="B4" s="113"/>
      <c r="C4" s="113"/>
      <c r="D4" s="113"/>
      <c r="E4" s="113"/>
      <c r="F4" s="113"/>
      <c r="G4" s="113"/>
      <c r="H4" s="113"/>
      <c r="J4" t="s">
        <v>510</v>
      </c>
      <c r="K4" s="21">
        <f>K2-K3</f>
        <v>0</v>
      </c>
    </row>
    <row r="5" spans="1:18" ht="12" customHeight="1" x14ac:dyDescent="0.2">
      <c r="A5" s="9" t="s">
        <v>3</v>
      </c>
      <c r="B5" s="10" t="str">
        <f>CONCATENATE(Header!$E$4,"Brown")</f>
        <v>MC-250816Brown</v>
      </c>
      <c r="C5" s="8"/>
      <c r="D5" s="8"/>
      <c r="E5" s="8"/>
      <c r="J5" s="115" t="s">
        <v>15</v>
      </c>
      <c r="K5" s="115"/>
      <c r="L5" s="115"/>
      <c r="M5" s="115"/>
      <c r="N5" s="115"/>
      <c r="O5" s="115"/>
      <c r="P5" s="115"/>
      <c r="Q5" s="115"/>
    </row>
    <row r="6" spans="1:18" ht="12" customHeight="1" x14ac:dyDescent="0.2">
      <c r="A6" s="9" t="s">
        <v>5</v>
      </c>
      <c r="B6" s="12">
        <f>Header!$E$5</f>
        <v>45885</v>
      </c>
      <c r="C6" s="8"/>
      <c r="D6" s="8"/>
      <c r="E6" s="116" t="s">
        <v>16</v>
      </c>
      <c r="F6" s="116"/>
      <c r="G6" s="116"/>
      <c r="H6" s="116"/>
    </row>
    <row r="7" spans="1:18" ht="12" customHeight="1" thickBot="1" x14ac:dyDescent="0.25">
      <c r="A7" s="11"/>
      <c r="B7" s="8"/>
      <c r="C7" s="8"/>
      <c r="D7" s="8"/>
      <c r="E7" s="117"/>
      <c r="F7" s="117"/>
      <c r="G7" s="117"/>
      <c r="H7" s="117"/>
    </row>
    <row r="8" spans="1:18" ht="45.75" thickBot="1" x14ac:dyDescent="0.25">
      <c r="A8" s="32" t="s">
        <v>17</v>
      </c>
      <c r="B8" s="33" t="s">
        <v>18</v>
      </c>
      <c r="C8" s="33" t="s">
        <v>19</v>
      </c>
      <c r="D8" s="33" t="s">
        <v>20</v>
      </c>
      <c r="E8" s="19" t="s">
        <v>36</v>
      </c>
      <c r="F8" s="16" t="s">
        <v>22</v>
      </c>
      <c r="G8" s="17" t="s">
        <v>23</v>
      </c>
      <c r="H8" s="18" t="s">
        <v>24</v>
      </c>
      <c r="J8" s="32" t="s">
        <v>25</v>
      </c>
      <c r="K8" s="33" t="s">
        <v>3</v>
      </c>
      <c r="L8" s="33" t="s">
        <v>26</v>
      </c>
      <c r="M8" s="33" t="s">
        <v>27</v>
      </c>
      <c r="N8" s="34" t="s">
        <v>28</v>
      </c>
      <c r="O8" s="34" t="s">
        <v>29</v>
      </c>
      <c r="P8" s="34" t="s">
        <v>30</v>
      </c>
      <c r="R8" s="90" t="s">
        <v>511</v>
      </c>
    </row>
    <row r="9" spans="1:18" ht="15.75" thickBot="1" x14ac:dyDescent="0.25">
      <c r="A9" s="45">
        <v>45881</v>
      </c>
      <c r="B9" s="45" t="s">
        <v>31</v>
      </c>
      <c r="C9" s="46">
        <v>44.94</v>
      </c>
      <c r="D9" s="46"/>
      <c r="E9" s="14" t="s">
        <v>70</v>
      </c>
      <c r="F9" s="72" t="s">
        <v>71</v>
      </c>
      <c r="G9" s="14" t="s">
        <v>72</v>
      </c>
      <c r="H9" s="15"/>
      <c r="J9" s="51" t="str">
        <f t="shared" ref="J9:J16" si="0">IF(F9&gt;0,(_xlfn.CONCAT(F9,".",G9)),H9)</f>
        <v>1084.repm</v>
      </c>
      <c r="K9" s="52" t="str">
        <f>_xlfn.CONCAT("M Brown-",(LEFT(B9,15)),"-",E9)</f>
        <v>M Brown-BUNNINGS 329000-Powerboards</v>
      </c>
      <c r="L9" s="52" t="s">
        <v>32</v>
      </c>
      <c r="M9" s="53">
        <f>IF(C9&gt;0,C9,-D9)</f>
        <v>44.94</v>
      </c>
      <c r="N9" s="54" t="s">
        <v>33</v>
      </c>
      <c r="O9" s="44"/>
      <c r="P9" s="55"/>
      <c r="Q9" t="s">
        <v>34</v>
      </c>
      <c r="R9" s="21">
        <f>LEN(K9)</f>
        <v>35</v>
      </c>
    </row>
    <row r="10" spans="1:18" ht="15.75" thickBot="1" x14ac:dyDescent="0.25">
      <c r="A10" s="47">
        <v>45881</v>
      </c>
      <c r="B10" s="47" t="s">
        <v>73</v>
      </c>
      <c r="C10" s="48">
        <v>17.600000000000001</v>
      </c>
      <c r="D10" s="48"/>
      <c r="E10" s="13" t="s">
        <v>74</v>
      </c>
      <c r="F10" s="73" t="s">
        <v>71</v>
      </c>
      <c r="G10" s="13" t="s">
        <v>75</v>
      </c>
      <c r="H10" s="50"/>
      <c r="J10" s="51" t="str">
        <f t="shared" si="0"/>
        <v>1084.sppe</v>
      </c>
      <c r="K10" s="52" t="str">
        <f t="shared" ref="K10:K29" si="1">_xlfn.CONCAT("M Brown-",(LEFT(B10,15)),"-",E10)</f>
        <v>M Brown-BALLARAT SAFETY-Safety boot insole</v>
      </c>
      <c r="L10" s="52" t="s">
        <v>32</v>
      </c>
      <c r="M10" s="53">
        <f t="shared" ref="M10:M16" si="2">IF(C10&gt;0,C10,-D10)</f>
        <v>17.600000000000001</v>
      </c>
      <c r="N10" s="54" t="s">
        <v>33</v>
      </c>
      <c r="O10" s="44"/>
      <c r="P10" s="54"/>
      <c r="R10" s="21">
        <f t="shared" ref="R10:R35" si="3">LEN(K10)</f>
        <v>42</v>
      </c>
    </row>
    <row r="11" spans="1:18" ht="15.75" thickBot="1" x14ac:dyDescent="0.25">
      <c r="A11" s="47">
        <v>45881</v>
      </c>
      <c r="B11" s="47" t="s">
        <v>76</v>
      </c>
      <c r="C11" s="48">
        <v>25.61</v>
      </c>
      <c r="D11" s="48"/>
      <c r="E11" s="13" t="s">
        <v>77</v>
      </c>
      <c r="F11" s="50" t="s">
        <v>78</v>
      </c>
      <c r="G11" s="50" t="s">
        <v>72</v>
      </c>
      <c r="H11" s="13"/>
      <c r="J11" s="51" t="str">
        <f>IF(F11&gt;0,(_xlfn.CONCAT(F11,".",G11)),H11)</f>
        <v>1051g.repm</v>
      </c>
      <c r="K11" s="52" t="str">
        <f t="shared" si="1"/>
        <v>M Brown-Industrial Worl-PV5 drive belts</v>
      </c>
      <c r="L11" s="52" t="s">
        <v>32</v>
      </c>
      <c r="M11" s="53">
        <f t="shared" si="2"/>
        <v>25.61</v>
      </c>
      <c r="N11" s="54" t="s">
        <v>33</v>
      </c>
      <c r="O11" s="44"/>
      <c r="P11" s="54"/>
      <c r="R11" s="21">
        <f t="shared" si="3"/>
        <v>39</v>
      </c>
    </row>
    <row r="12" spans="1:18" ht="15.75" thickBot="1" x14ac:dyDescent="0.25">
      <c r="A12" s="47">
        <v>45877</v>
      </c>
      <c r="B12" s="47" t="s">
        <v>79</v>
      </c>
      <c r="C12" s="48">
        <v>114.2</v>
      </c>
      <c r="D12" s="48"/>
      <c r="E12" s="13" t="s">
        <v>80</v>
      </c>
      <c r="F12" s="73" t="s">
        <v>71</v>
      </c>
      <c r="G12" s="13" t="s">
        <v>72</v>
      </c>
      <c r="H12" s="50"/>
      <c r="J12" s="51" t="str">
        <f t="shared" si="0"/>
        <v>1084.repm</v>
      </c>
      <c r="K12" s="52" t="str">
        <f t="shared" si="1"/>
        <v>M Brown-TOTAL TOOLS BAL-Gas burner for weed removal</v>
      </c>
      <c r="L12" s="52" t="s">
        <v>32</v>
      </c>
      <c r="M12" s="53">
        <f t="shared" si="2"/>
        <v>114.2</v>
      </c>
      <c r="N12" s="54" t="s">
        <v>33</v>
      </c>
      <c r="O12" s="44"/>
      <c r="P12" s="54"/>
      <c r="R12" s="21">
        <f t="shared" si="3"/>
        <v>51</v>
      </c>
    </row>
    <row r="13" spans="1:18" ht="15.75" thickBot="1" x14ac:dyDescent="0.25">
      <c r="A13" s="47">
        <v>45876</v>
      </c>
      <c r="B13" s="47" t="s">
        <v>81</v>
      </c>
      <c r="C13" s="48">
        <v>139</v>
      </c>
      <c r="D13" s="48"/>
      <c r="E13" s="13" t="s">
        <v>82</v>
      </c>
      <c r="F13" s="73" t="s">
        <v>71</v>
      </c>
      <c r="G13" s="13" t="s">
        <v>83</v>
      </c>
      <c r="H13" s="13"/>
      <c r="J13" s="51" t="str">
        <f t="shared" si="0"/>
        <v>1084.inte</v>
      </c>
      <c r="K13" s="52" t="str">
        <f t="shared" si="1"/>
        <v>M Brown-STARLINK INTERN-Mt Coghill inernet</v>
      </c>
      <c r="L13" s="52" t="s">
        <v>32</v>
      </c>
      <c r="M13" s="53">
        <f t="shared" si="2"/>
        <v>139</v>
      </c>
      <c r="N13" s="54" t="s">
        <v>33</v>
      </c>
      <c r="O13" s="44"/>
      <c r="P13" s="54"/>
      <c r="R13" s="21">
        <f t="shared" si="3"/>
        <v>42</v>
      </c>
    </row>
    <row r="14" spans="1:18" ht="15.75" thickBot="1" x14ac:dyDescent="0.25">
      <c r="A14" s="47">
        <v>45875</v>
      </c>
      <c r="B14" s="47" t="s">
        <v>31</v>
      </c>
      <c r="C14" s="48">
        <v>44.7</v>
      </c>
      <c r="D14" s="48"/>
      <c r="E14" s="13" t="s">
        <v>84</v>
      </c>
      <c r="F14" s="73" t="s">
        <v>71</v>
      </c>
      <c r="G14" s="13" t="s">
        <v>72</v>
      </c>
      <c r="H14" s="13"/>
      <c r="J14" s="51" t="str">
        <f t="shared" si="0"/>
        <v>1084.repm</v>
      </c>
      <c r="K14" s="52" t="str">
        <f t="shared" si="1"/>
        <v>M Brown-BUNNINGS 329000-15 amp Switch lead</v>
      </c>
      <c r="L14" s="52" t="s">
        <v>32</v>
      </c>
      <c r="M14" s="53">
        <f t="shared" si="2"/>
        <v>44.7</v>
      </c>
      <c r="N14" s="54" t="s">
        <v>33</v>
      </c>
      <c r="O14" s="44"/>
      <c r="P14" s="54"/>
      <c r="R14" s="21">
        <f t="shared" si="3"/>
        <v>42</v>
      </c>
    </row>
    <row r="15" spans="1:18" ht="15.75" thickBot="1" x14ac:dyDescent="0.25">
      <c r="A15" s="47">
        <v>45875</v>
      </c>
      <c r="B15" s="47" t="s">
        <v>85</v>
      </c>
      <c r="C15" s="48">
        <v>122.62</v>
      </c>
      <c r="D15" s="48"/>
      <c r="E15" s="13" t="s">
        <v>86</v>
      </c>
      <c r="F15" s="73" t="s">
        <v>71</v>
      </c>
      <c r="G15" s="13" t="s">
        <v>87</v>
      </c>
      <c r="H15" s="13"/>
      <c r="J15" s="51" t="str">
        <f t="shared" si="0"/>
        <v>1084.mvpf</v>
      </c>
      <c r="K15" s="52" t="str">
        <f t="shared" si="1"/>
        <v>M Brown-UNITED BALLARAT-Ute fuel</v>
      </c>
      <c r="L15" s="52" t="s">
        <v>32</v>
      </c>
      <c r="M15" s="53">
        <f t="shared" si="2"/>
        <v>122.62</v>
      </c>
      <c r="N15" s="54" t="s">
        <v>33</v>
      </c>
      <c r="O15" s="44"/>
      <c r="P15" s="54"/>
      <c r="R15" s="21">
        <f t="shared" si="3"/>
        <v>32</v>
      </c>
    </row>
    <row r="16" spans="1:18" ht="15.75" thickBot="1" x14ac:dyDescent="0.25">
      <c r="A16" s="47">
        <v>45874</v>
      </c>
      <c r="B16" s="47" t="s">
        <v>88</v>
      </c>
      <c r="C16" s="48">
        <v>184.67</v>
      </c>
      <c r="D16" s="48"/>
      <c r="E16" s="13" t="s">
        <v>89</v>
      </c>
      <c r="F16" s="73" t="s">
        <v>71</v>
      </c>
      <c r="G16" s="13" t="s">
        <v>72</v>
      </c>
      <c r="H16" s="13"/>
      <c r="J16" s="51" t="str">
        <f t="shared" si="0"/>
        <v>1084.repm</v>
      </c>
      <c r="K16" s="52" t="str">
        <f t="shared" si="1"/>
        <v>M Brown-AWM WENDOUREE W-B1 airconditioners</v>
      </c>
      <c r="L16" s="52" t="s">
        <v>32</v>
      </c>
      <c r="M16" s="53">
        <f t="shared" si="2"/>
        <v>184.67</v>
      </c>
      <c r="N16" s="54" t="s">
        <v>33</v>
      </c>
      <c r="O16" s="44"/>
      <c r="P16" s="54"/>
      <c r="R16" s="21">
        <f t="shared" si="3"/>
        <v>42</v>
      </c>
    </row>
    <row r="17" spans="1:18" ht="15.75" thickBot="1" x14ac:dyDescent="0.25">
      <c r="A17" s="47">
        <v>45874</v>
      </c>
      <c r="B17" s="47" t="s">
        <v>90</v>
      </c>
      <c r="C17" s="48"/>
      <c r="D17" s="48">
        <v>71.98</v>
      </c>
      <c r="E17" s="13" t="s">
        <v>91</v>
      </c>
      <c r="F17" s="73" t="s">
        <v>71</v>
      </c>
      <c r="G17" s="13" t="s">
        <v>72</v>
      </c>
      <c r="H17" s="13"/>
      <c r="J17" s="51" t="str">
        <f t="shared" ref="J17:J29" si="4">IF(F17&gt;0,(_xlfn.CONCAT(F17,".",G17)),H17)</f>
        <v>1084.repm</v>
      </c>
      <c r="K17" s="52" t="str">
        <f t="shared" si="1"/>
        <v>M Brown-CRED VOUCHER AW-Overcharge credit</v>
      </c>
      <c r="L17" s="52" t="s">
        <v>32</v>
      </c>
      <c r="M17" s="53">
        <f t="shared" ref="M17:M29" si="5">IF(C17&gt;0,C17,-D17)</f>
        <v>-71.98</v>
      </c>
      <c r="N17" s="54" t="s">
        <v>33</v>
      </c>
      <c r="O17" s="44"/>
      <c r="P17" s="54"/>
      <c r="R17" s="21">
        <f t="shared" si="3"/>
        <v>41</v>
      </c>
    </row>
    <row r="18" spans="1:18" ht="15.75" thickBot="1" x14ac:dyDescent="0.25">
      <c r="A18" s="47">
        <v>45874</v>
      </c>
      <c r="B18" s="47" t="s">
        <v>92</v>
      </c>
      <c r="C18" s="48">
        <v>241.66</v>
      </c>
      <c r="D18" s="48"/>
      <c r="E18" s="13" t="s">
        <v>89</v>
      </c>
      <c r="F18" s="73" t="s">
        <v>71</v>
      </c>
      <c r="G18" s="13" t="s">
        <v>72</v>
      </c>
      <c r="H18" s="13"/>
      <c r="J18" s="51" t="str">
        <f t="shared" si="4"/>
        <v>1084.repm</v>
      </c>
      <c r="K18" s="52" t="str">
        <f t="shared" si="1"/>
        <v>M Brown-L&amp;H WENDOUREE W-B1 airconditioners</v>
      </c>
      <c r="L18" s="52" t="s">
        <v>32</v>
      </c>
      <c r="M18" s="53">
        <f t="shared" si="5"/>
        <v>241.66</v>
      </c>
      <c r="N18" s="54" t="s">
        <v>33</v>
      </c>
      <c r="O18" s="44"/>
      <c r="P18" s="54"/>
      <c r="R18" s="21">
        <f t="shared" si="3"/>
        <v>42</v>
      </c>
    </row>
    <row r="19" spans="1:18" ht="15.75" thickBot="1" x14ac:dyDescent="0.25">
      <c r="A19" s="47">
        <v>45869</v>
      </c>
      <c r="B19" s="47" t="s">
        <v>93</v>
      </c>
      <c r="C19" s="48">
        <v>250.97</v>
      </c>
      <c r="D19" s="48"/>
      <c r="E19" s="13" t="s">
        <v>94</v>
      </c>
      <c r="F19" s="73" t="s">
        <v>71</v>
      </c>
      <c r="G19" s="13" t="s">
        <v>75</v>
      </c>
      <c r="H19" s="13"/>
      <c r="J19" s="51" t="str">
        <f t="shared" si="4"/>
        <v>1084.sppe</v>
      </c>
      <c r="K19" s="52" t="str">
        <f t="shared" si="1"/>
        <v>M Brown-Ballarat Materi-Pallet rack load limit signs</v>
      </c>
      <c r="L19" s="52" t="s">
        <v>32</v>
      </c>
      <c r="M19" s="53">
        <f t="shared" si="5"/>
        <v>250.97</v>
      </c>
      <c r="N19" s="54" t="s">
        <v>33</v>
      </c>
      <c r="O19" s="44"/>
      <c r="P19" s="54"/>
      <c r="R19" s="21">
        <f t="shared" si="3"/>
        <v>52</v>
      </c>
    </row>
    <row r="20" spans="1:18" ht="15.75" thickBot="1" x14ac:dyDescent="0.25">
      <c r="A20" s="47">
        <v>45868</v>
      </c>
      <c r="B20" s="47" t="s">
        <v>95</v>
      </c>
      <c r="C20" s="48">
        <v>486.57</v>
      </c>
      <c r="D20" s="48"/>
      <c r="E20" s="13" t="s">
        <v>96</v>
      </c>
      <c r="F20" s="13" t="s">
        <v>78</v>
      </c>
      <c r="G20" s="13" t="s">
        <v>72</v>
      </c>
      <c r="H20" s="13"/>
      <c r="J20" s="51" t="str">
        <f t="shared" si="4"/>
        <v>1051g.repm</v>
      </c>
      <c r="K20" s="52" t="str">
        <f t="shared" si="1"/>
        <v>M Brown-AVENUTUM BALLAR-PV5 safety switck</v>
      </c>
      <c r="L20" s="52" t="s">
        <v>32</v>
      </c>
      <c r="M20" s="53">
        <f t="shared" si="5"/>
        <v>486.57</v>
      </c>
      <c r="N20" s="54" t="s">
        <v>33</v>
      </c>
      <c r="O20" s="44"/>
      <c r="P20" s="54"/>
      <c r="R20" s="21">
        <f t="shared" si="3"/>
        <v>41</v>
      </c>
    </row>
    <row r="21" spans="1:18" ht="15.75" thickBot="1" x14ac:dyDescent="0.25">
      <c r="A21" s="47">
        <v>45868</v>
      </c>
      <c r="B21" s="47" t="s">
        <v>85</v>
      </c>
      <c r="C21" s="48">
        <v>118.34</v>
      </c>
      <c r="D21" s="48"/>
      <c r="E21" s="13" t="s">
        <v>86</v>
      </c>
      <c r="F21" s="73" t="s">
        <v>71</v>
      </c>
      <c r="G21" s="13" t="s">
        <v>87</v>
      </c>
      <c r="H21" s="13"/>
      <c r="J21" s="51" t="str">
        <f t="shared" si="4"/>
        <v>1084.mvpf</v>
      </c>
      <c r="K21" s="52" t="str">
        <f t="shared" si="1"/>
        <v>M Brown-UNITED BALLARAT-Ute fuel</v>
      </c>
      <c r="L21" s="52" t="s">
        <v>32</v>
      </c>
      <c r="M21" s="53">
        <f t="shared" si="5"/>
        <v>118.34</v>
      </c>
      <c r="N21" s="54" t="s">
        <v>33</v>
      </c>
      <c r="O21" s="44"/>
      <c r="P21" s="54"/>
      <c r="R21" s="21">
        <f t="shared" si="3"/>
        <v>32</v>
      </c>
    </row>
    <row r="22" spans="1:18" ht="15.75" thickBot="1" x14ac:dyDescent="0.25">
      <c r="A22" s="47">
        <v>45866</v>
      </c>
      <c r="B22" s="47" t="s">
        <v>97</v>
      </c>
      <c r="C22" s="48">
        <v>4.0599999999999996</v>
      </c>
      <c r="D22" s="48"/>
      <c r="E22" s="13" t="s">
        <v>98</v>
      </c>
      <c r="F22" s="13" t="s">
        <v>78</v>
      </c>
      <c r="G22" s="13" t="s">
        <v>72</v>
      </c>
      <c r="H22" s="13"/>
      <c r="J22" s="51" t="str">
        <f t="shared" si="4"/>
        <v>1051g.repm</v>
      </c>
      <c r="K22" s="52" t="str">
        <f t="shared" si="1"/>
        <v>M Brown-Ballarat Bolts -PV5 bolts</v>
      </c>
      <c r="L22" s="52" t="s">
        <v>32</v>
      </c>
      <c r="M22" s="53">
        <f t="shared" si="5"/>
        <v>4.0599999999999996</v>
      </c>
      <c r="N22" s="54" t="s">
        <v>33</v>
      </c>
      <c r="O22" s="44"/>
      <c r="P22" s="54"/>
      <c r="R22" s="21">
        <f t="shared" si="3"/>
        <v>33</v>
      </c>
    </row>
    <row r="23" spans="1:18" ht="15.75" thickBot="1" x14ac:dyDescent="0.25">
      <c r="A23" s="47">
        <v>45863</v>
      </c>
      <c r="B23" s="47" t="s">
        <v>31</v>
      </c>
      <c r="C23" s="48">
        <v>33</v>
      </c>
      <c r="D23" s="48"/>
      <c r="E23" s="13" t="s">
        <v>99</v>
      </c>
      <c r="F23" s="73" t="s">
        <v>71</v>
      </c>
      <c r="G23" s="13" t="s">
        <v>72</v>
      </c>
      <c r="H23" s="13"/>
      <c r="J23" s="51" t="str">
        <f t="shared" si="4"/>
        <v>1084.repm</v>
      </c>
      <c r="K23" s="52" t="str">
        <f t="shared" si="1"/>
        <v>M Brown-BUNNINGS 329000-Coach bolts</v>
      </c>
      <c r="L23" s="52" t="s">
        <v>32</v>
      </c>
      <c r="M23" s="53">
        <f t="shared" si="5"/>
        <v>33</v>
      </c>
      <c r="N23" s="54" t="s">
        <v>33</v>
      </c>
      <c r="O23" s="44"/>
      <c r="P23" s="54"/>
      <c r="R23" s="21">
        <f t="shared" si="3"/>
        <v>35</v>
      </c>
    </row>
    <row r="24" spans="1:18" ht="15.75" thickBot="1" x14ac:dyDescent="0.25">
      <c r="A24" s="47">
        <v>45860</v>
      </c>
      <c r="B24" s="47" t="s">
        <v>100</v>
      </c>
      <c r="C24" s="48">
        <v>483.87</v>
      </c>
      <c r="D24" s="48"/>
      <c r="E24" s="13" t="s">
        <v>101</v>
      </c>
      <c r="F24" s="13" t="s">
        <v>78</v>
      </c>
      <c r="G24" s="13" t="s">
        <v>72</v>
      </c>
      <c r="H24" s="13"/>
      <c r="J24" s="51" t="str">
        <f t="shared" si="4"/>
        <v>1051g.repm</v>
      </c>
      <c r="K24" s="52" t="str">
        <f t="shared" si="1"/>
        <v>M Brown-STERIDIUM PTY L-Assay oven controler</v>
      </c>
      <c r="L24" s="52" t="s">
        <v>32</v>
      </c>
      <c r="M24" s="53">
        <f t="shared" si="5"/>
        <v>483.87</v>
      </c>
      <c r="N24" s="54" t="s">
        <v>33</v>
      </c>
      <c r="O24" s="44"/>
      <c r="P24" s="54"/>
      <c r="R24" s="21">
        <f t="shared" si="3"/>
        <v>44</v>
      </c>
    </row>
    <row r="25" spans="1:18" ht="15.75" thickBot="1" x14ac:dyDescent="0.25">
      <c r="A25" s="47">
        <v>45859</v>
      </c>
      <c r="B25" s="47" t="s">
        <v>31</v>
      </c>
      <c r="C25" s="48">
        <v>59.45</v>
      </c>
      <c r="D25" s="48"/>
      <c r="E25" s="13" t="s">
        <v>102</v>
      </c>
      <c r="F25" s="13" t="s">
        <v>78</v>
      </c>
      <c r="G25" s="13" t="s">
        <v>72</v>
      </c>
      <c r="H25" s="13"/>
      <c r="J25" s="51" t="str">
        <f t="shared" si="4"/>
        <v>1051g.repm</v>
      </c>
      <c r="K25" s="52" t="str">
        <f t="shared" si="1"/>
        <v>M Brown-BUNNINGS 329000-LM5 cables</v>
      </c>
      <c r="L25" s="52" t="s">
        <v>32</v>
      </c>
      <c r="M25" s="53">
        <f t="shared" si="5"/>
        <v>59.45</v>
      </c>
      <c r="N25" s="54" t="s">
        <v>33</v>
      </c>
      <c r="O25" s="44"/>
      <c r="P25" s="54"/>
      <c r="R25" s="21">
        <f t="shared" si="3"/>
        <v>34</v>
      </c>
    </row>
    <row r="26" spans="1:18" ht="15.75" thickBot="1" x14ac:dyDescent="0.25">
      <c r="A26" s="47">
        <v>45859</v>
      </c>
      <c r="B26" s="47" t="s">
        <v>85</v>
      </c>
      <c r="C26" s="48">
        <v>118.45</v>
      </c>
      <c r="D26" s="48"/>
      <c r="E26" s="13" t="s">
        <v>86</v>
      </c>
      <c r="F26" s="73" t="s">
        <v>71</v>
      </c>
      <c r="G26" s="13" t="s">
        <v>87</v>
      </c>
      <c r="H26" s="13"/>
      <c r="J26" s="51" t="str">
        <f t="shared" si="4"/>
        <v>1084.mvpf</v>
      </c>
      <c r="K26" s="52" t="str">
        <f t="shared" si="1"/>
        <v>M Brown-UNITED BALLARAT-Ute fuel</v>
      </c>
      <c r="L26" s="52" t="s">
        <v>32</v>
      </c>
      <c r="M26" s="53">
        <f t="shared" si="5"/>
        <v>118.45</v>
      </c>
      <c r="N26" s="54" t="s">
        <v>33</v>
      </c>
      <c r="O26" s="44"/>
      <c r="P26" s="54"/>
      <c r="R26" s="21">
        <f t="shared" si="3"/>
        <v>32</v>
      </c>
    </row>
    <row r="27" spans="1:18" ht="15.75" thickBot="1" x14ac:dyDescent="0.25">
      <c r="A27" s="47">
        <v>45856</v>
      </c>
      <c r="B27" s="47" t="s">
        <v>92</v>
      </c>
      <c r="C27" s="48">
        <v>73.61</v>
      </c>
      <c r="D27" s="48"/>
      <c r="E27" s="13" t="s">
        <v>103</v>
      </c>
      <c r="F27" s="13" t="s">
        <v>78</v>
      </c>
      <c r="G27" s="13" t="s">
        <v>72</v>
      </c>
      <c r="H27" s="13"/>
      <c r="J27" s="51" t="str">
        <f t="shared" si="4"/>
        <v>1051g.repm</v>
      </c>
      <c r="K27" s="52" t="str">
        <f t="shared" si="1"/>
        <v>M Brown-L&amp;H WENDOUREE W-Assay oven fan motors</v>
      </c>
      <c r="L27" s="52" t="s">
        <v>32</v>
      </c>
      <c r="M27" s="53">
        <f t="shared" si="5"/>
        <v>73.61</v>
      </c>
      <c r="N27" s="54" t="s">
        <v>33</v>
      </c>
      <c r="O27" s="44"/>
      <c r="P27" s="54"/>
      <c r="R27" s="21">
        <f t="shared" si="3"/>
        <v>45</v>
      </c>
    </row>
    <row r="28" spans="1:18" ht="15.75" thickBot="1" x14ac:dyDescent="0.25">
      <c r="A28" s="47">
        <v>45855</v>
      </c>
      <c r="B28" s="47" t="s">
        <v>104</v>
      </c>
      <c r="C28" s="48">
        <v>12</v>
      </c>
      <c r="D28" s="48"/>
      <c r="E28" s="13" t="s">
        <v>105</v>
      </c>
      <c r="F28" s="73" t="s">
        <v>71</v>
      </c>
      <c r="G28" s="13" t="s">
        <v>72</v>
      </c>
      <c r="H28" s="13"/>
      <c r="J28" s="51" t="str">
        <f t="shared" si="4"/>
        <v>1084.repm</v>
      </c>
      <c r="K28" s="52" t="str">
        <f t="shared" si="1"/>
        <v>M Brown-COLES 0628COLES-B2 kitchen supplies</v>
      </c>
      <c r="L28" s="52" t="s">
        <v>32</v>
      </c>
      <c r="M28" s="53">
        <f t="shared" si="5"/>
        <v>12</v>
      </c>
      <c r="N28" s="54" t="s">
        <v>33</v>
      </c>
      <c r="O28" s="44"/>
      <c r="P28" s="54"/>
      <c r="R28" s="21">
        <f t="shared" si="3"/>
        <v>43</v>
      </c>
    </row>
    <row r="29" spans="1:18" ht="15.75" thickBot="1" x14ac:dyDescent="0.25">
      <c r="A29" s="47">
        <v>45854</v>
      </c>
      <c r="B29" s="47" t="s">
        <v>31</v>
      </c>
      <c r="C29" s="48">
        <v>21.99</v>
      </c>
      <c r="D29" s="48"/>
      <c r="E29" s="13" t="s">
        <v>106</v>
      </c>
      <c r="F29" s="73" t="s">
        <v>71</v>
      </c>
      <c r="G29" s="13" t="s">
        <v>72</v>
      </c>
      <c r="H29" s="13"/>
      <c r="J29" s="51" t="str">
        <f t="shared" si="4"/>
        <v>1084.repm</v>
      </c>
      <c r="K29" s="52" t="str">
        <f t="shared" si="1"/>
        <v>M Brown-BUNNINGS 329000-B2 rubbish bin</v>
      </c>
      <c r="L29" s="52" t="s">
        <v>32</v>
      </c>
      <c r="M29" s="53">
        <f t="shared" si="5"/>
        <v>21.99</v>
      </c>
      <c r="N29" s="54" t="s">
        <v>33</v>
      </c>
      <c r="O29" s="44"/>
      <c r="P29" s="54"/>
      <c r="R29" s="21">
        <f t="shared" si="3"/>
        <v>38</v>
      </c>
    </row>
    <row r="30" spans="1:18" x14ac:dyDescent="0.2">
      <c r="R30" s="21">
        <f t="shared" si="3"/>
        <v>0</v>
      </c>
    </row>
    <row r="31" spans="1:18" x14ac:dyDescent="0.2">
      <c r="R31" s="21">
        <f t="shared" si="3"/>
        <v>0</v>
      </c>
    </row>
    <row r="32" spans="1:18" x14ac:dyDescent="0.2">
      <c r="R32" s="21">
        <f t="shared" si="3"/>
        <v>0</v>
      </c>
    </row>
    <row r="33" spans="18:18" x14ac:dyDescent="0.2">
      <c r="R33" s="21">
        <f t="shared" si="3"/>
        <v>0</v>
      </c>
    </row>
    <row r="34" spans="18:18" x14ac:dyDescent="0.2">
      <c r="R34" s="21">
        <f t="shared" si="3"/>
        <v>0</v>
      </c>
    </row>
    <row r="35" spans="18:18" x14ac:dyDescent="0.2">
      <c r="R35" s="21">
        <f t="shared" si="3"/>
        <v>0</v>
      </c>
    </row>
  </sheetData>
  <mergeCells count="5">
    <mergeCell ref="J1:P1"/>
    <mergeCell ref="A4:H4"/>
    <mergeCell ref="J5:Q5"/>
    <mergeCell ref="E6:H7"/>
    <mergeCell ref="A1:H3"/>
  </mergeCells>
  <conditionalFormatting sqref="B16:B48">
    <cfRule type="cellIs" dxfId="20" priority="2" operator="lessThan">
      <formula>0</formula>
    </cfRule>
  </conditionalFormatting>
  <dataValidations count="1">
    <dataValidation type="list" allowBlank="1" showInputMessage="1" showErrorMessage="1" sqref="C16:C48" xr:uid="{00000000-0002-0000-0400-000000000000}">
      <formula1>"GST 10%, GST FREE"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79998168889431442"/>
  </sheetPr>
  <dimension ref="A1:R35"/>
  <sheetViews>
    <sheetView topLeftCell="B7" workbookViewId="0">
      <selection activeCell="G14" sqref="G14"/>
    </sheetView>
  </sheetViews>
  <sheetFormatPr defaultRowHeight="12.75" x14ac:dyDescent="0.2"/>
  <cols>
    <col min="1" max="1" width="17.42578125" style="3" customWidth="1"/>
    <col min="2" max="2" width="47.42578125" customWidth="1"/>
    <col min="3" max="3" width="13.5703125" customWidth="1"/>
    <col min="4" max="4" width="16.42578125" customWidth="1"/>
    <col min="5" max="5" width="31.140625" bestFit="1" customWidth="1"/>
    <col min="6" max="6" width="14.140625" bestFit="1" customWidth="1"/>
    <col min="7" max="7" width="13.42578125" bestFit="1" customWidth="1"/>
    <col min="8" max="8" width="15.5703125" customWidth="1"/>
    <col min="9" max="9" width="2.42578125" customWidth="1"/>
    <col min="10" max="10" width="21.85546875" bestFit="1" customWidth="1"/>
    <col min="11" max="11" width="63.5703125" bestFit="1" customWidth="1"/>
    <col min="12" max="12" width="4" bestFit="1" customWidth="1"/>
    <col min="15" max="15" width="21.42578125" customWidth="1"/>
    <col min="16" max="16" width="15.85546875" customWidth="1"/>
  </cols>
  <sheetData>
    <row r="1" spans="1:18" ht="12" customHeight="1" x14ac:dyDescent="0.2">
      <c r="A1" s="118" t="s">
        <v>12</v>
      </c>
      <c r="B1" s="119"/>
      <c r="C1" s="119"/>
      <c r="D1" s="119"/>
      <c r="E1" s="119"/>
      <c r="F1" s="119"/>
      <c r="G1" s="119"/>
      <c r="H1" s="119"/>
      <c r="J1" s="113" t="s">
        <v>13</v>
      </c>
      <c r="K1" s="113"/>
      <c r="L1" s="113"/>
      <c r="M1" s="113"/>
      <c r="N1" s="113"/>
      <c r="O1" s="113"/>
      <c r="P1" s="113"/>
    </row>
    <row r="2" spans="1:18" ht="12" customHeight="1" x14ac:dyDescent="0.2">
      <c r="A2" s="118"/>
      <c r="B2" s="119"/>
      <c r="C2" s="119"/>
      <c r="D2" s="119"/>
      <c r="E2" s="119"/>
      <c r="F2" s="119"/>
      <c r="G2" s="119"/>
      <c r="H2" s="119"/>
      <c r="J2" s="74" t="s">
        <v>508</v>
      </c>
      <c r="K2" s="88">
        <v>5018.74</v>
      </c>
      <c r="L2" s="74"/>
      <c r="M2" s="74"/>
      <c r="N2" s="74"/>
      <c r="O2" s="74"/>
      <c r="P2" s="74"/>
    </row>
    <row r="3" spans="1:18" ht="12" customHeight="1" x14ac:dyDescent="0.2">
      <c r="A3" s="118"/>
      <c r="B3" s="119"/>
      <c r="C3" s="119"/>
      <c r="D3" s="119"/>
      <c r="E3" s="119"/>
      <c r="F3" s="119"/>
      <c r="G3" s="119"/>
      <c r="H3" s="119"/>
      <c r="J3" t="s">
        <v>509</v>
      </c>
      <c r="K3" s="21">
        <f>SUM(M9:M144)</f>
        <v>5018.74</v>
      </c>
      <c r="L3" s="74"/>
      <c r="M3" s="74"/>
      <c r="N3" s="74"/>
      <c r="O3" s="74"/>
      <c r="P3" s="74"/>
    </row>
    <row r="4" spans="1:18" ht="12" customHeight="1" x14ac:dyDescent="0.2">
      <c r="A4" s="114" t="s">
        <v>107</v>
      </c>
      <c r="B4" s="113"/>
      <c r="C4" s="113"/>
      <c r="D4" s="113"/>
      <c r="E4" s="113"/>
      <c r="F4" s="113"/>
      <c r="G4" s="113"/>
      <c r="H4" s="113"/>
      <c r="J4" t="s">
        <v>510</v>
      </c>
      <c r="K4" s="21">
        <f>K2-K3</f>
        <v>0</v>
      </c>
    </row>
    <row r="5" spans="1:18" ht="12" customHeight="1" x14ac:dyDescent="0.2">
      <c r="A5" s="9" t="s">
        <v>3</v>
      </c>
      <c r="B5" s="10" t="str">
        <f>CONCATENATE(Header!$E$4,"Donadio")</f>
        <v>MC-250816Donadio</v>
      </c>
      <c r="C5" s="8"/>
      <c r="D5" s="8"/>
      <c r="E5" s="8"/>
      <c r="J5" s="115" t="s">
        <v>15</v>
      </c>
      <c r="K5" s="115"/>
      <c r="L5" s="115"/>
      <c r="M5" s="115"/>
      <c r="N5" s="115"/>
      <c r="O5" s="115"/>
      <c r="P5" s="115"/>
      <c r="Q5" s="115"/>
    </row>
    <row r="6" spans="1:18" ht="12" customHeight="1" x14ac:dyDescent="0.2">
      <c r="A6" s="9" t="s">
        <v>5</v>
      </c>
      <c r="B6" s="12">
        <f>Header!$E$5</f>
        <v>45885</v>
      </c>
      <c r="C6" s="8"/>
      <c r="D6" s="8"/>
      <c r="E6" s="116" t="s">
        <v>16</v>
      </c>
      <c r="F6" s="116"/>
      <c r="G6" s="116"/>
      <c r="H6" s="116"/>
    </row>
    <row r="7" spans="1:18" ht="12" customHeight="1" thickBot="1" x14ac:dyDescent="0.25">
      <c r="A7" s="11"/>
      <c r="B7" s="8"/>
      <c r="C7" s="8"/>
      <c r="D7" s="8"/>
      <c r="E7" s="117"/>
      <c r="F7" s="117"/>
      <c r="G7" s="117"/>
      <c r="H7" s="117"/>
    </row>
    <row r="8" spans="1:18" ht="45.75" thickBot="1" x14ac:dyDescent="0.25">
      <c r="A8" s="32" t="s">
        <v>17</v>
      </c>
      <c r="B8" s="33" t="s">
        <v>18</v>
      </c>
      <c r="C8" s="33" t="s">
        <v>19</v>
      </c>
      <c r="D8" s="33" t="s">
        <v>20</v>
      </c>
      <c r="E8" s="19" t="s">
        <v>36</v>
      </c>
      <c r="F8" s="16" t="s">
        <v>22</v>
      </c>
      <c r="G8" s="17" t="s">
        <v>23</v>
      </c>
      <c r="H8" s="18" t="s">
        <v>24</v>
      </c>
      <c r="J8" s="32" t="s">
        <v>25</v>
      </c>
      <c r="K8" s="33" t="s">
        <v>3</v>
      </c>
      <c r="L8" s="33" t="s">
        <v>26</v>
      </c>
      <c r="M8" s="33" t="s">
        <v>27</v>
      </c>
      <c r="N8" s="34" t="s">
        <v>28</v>
      </c>
      <c r="O8" s="34" t="s">
        <v>29</v>
      </c>
      <c r="P8" s="34" t="s">
        <v>30</v>
      </c>
      <c r="R8" s="90" t="s">
        <v>511</v>
      </c>
    </row>
    <row r="9" spans="1:18" ht="15.75" thickBot="1" x14ac:dyDescent="0.25">
      <c r="A9" s="45">
        <v>45881</v>
      </c>
      <c r="B9" s="45" t="s">
        <v>108</v>
      </c>
      <c r="C9" s="46">
        <v>1135.57</v>
      </c>
      <c r="D9" s="46"/>
      <c r="E9" s="14" t="s">
        <v>109</v>
      </c>
      <c r="F9" s="49">
        <v>1084</v>
      </c>
      <c r="G9" s="14" t="s">
        <v>110</v>
      </c>
      <c r="H9" s="15"/>
      <c r="J9" s="51" t="str">
        <f t="shared" ref="J9:J16" si="0">IF(F9&gt;0,(_xlfn.CONCAT(F9,".",G9)),H9)</f>
        <v>1084.ITHA</v>
      </c>
      <c r="K9" s="52" t="str">
        <f>_xlfn.CONCAT("M Donadio-",(LEFT(B9,15)),"-",E9)</f>
        <v>M Donadio-SP XNOTE DOVER -trial of Ai writing tools x 3</v>
      </c>
      <c r="L9" s="52" t="s">
        <v>32</v>
      </c>
      <c r="M9" s="53">
        <f>IF(C9&gt;0,C9,-D9)</f>
        <v>1135.57</v>
      </c>
      <c r="N9" s="54" t="s">
        <v>33</v>
      </c>
      <c r="O9" s="44"/>
      <c r="P9" s="55"/>
      <c r="Q9" t="s">
        <v>34</v>
      </c>
      <c r="R9" s="21">
        <f>LEN(K9)</f>
        <v>55</v>
      </c>
    </row>
    <row r="10" spans="1:18" ht="15.75" thickBot="1" x14ac:dyDescent="0.25">
      <c r="A10" s="45">
        <v>45879</v>
      </c>
      <c r="B10" s="45" t="s">
        <v>111</v>
      </c>
      <c r="C10" s="46">
        <v>169.95</v>
      </c>
      <c r="D10" s="46"/>
      <c r="E10" s="14" t="s">
        <v>112</v>
      </c>
      <c r="F10" s="49">
        <v>1084</v>
      </c>
      <c r="G10" s="14" t="s">
        <v>113</v>
      </c>
      <c r="H10" s="15"/>
      <c r="J10" s="51" t="str">
        <f t="shared" si="0"/>
        <v>1084.PERS</v>
      </c>
      <c r="K10" s="52" t="str">
        <f t="shared" ref="K10:K26" si="1">_xlfn.CONCAT("M Donadio-",(LEFT(B10,15)),"-",E10)</f>
        <v>M Donadio-SP RED DRAGON N-Personal Exp</v>
      </c>
      <c r="L10" s="52" t="s">
        <v>32</v>
      </c>
      <c r="M10" s="53">
        <f t="shared" ref="M10:M16" si="2">IF(C10&gt;0,C10,-D10)</f>
        <v>169.95</v>
      </c>
      <c r="N10" s="54" t="s">
        <v>150</v>
      </c>
      <c r="O10" s="44"/>
      <c r="P10" s="55"/>
      <c r="R10" s="21">
        <f t="shared" ref="R10:R35" si="3">LEN(K10)</f>
        <v>38</v>
      </c>
    </row>
    <row r="11" spans="1:18" ht="15.75" thickBot="1" x14ac:dyDescent="0.25">
      <c r="A11" s="45">
        <v>45877</v>
      </c>
      <c r="B11" s="45" t="s">
        <v>114</v>
      </c>
      <c r="C11" s="46">
        <v>963</v>
      </c>
      <c r="D11" s="46"/>
      <c r="E11" s="14" t="s">
        <v>115</v>
      </c>
      <c r="F11" s="49">
        <v>1084</v>
      </c>
      <c r="G11" s="14" t="s">
        <v>116</v>
      </c>
      <c r="H11" s="15"/>
      <c r="J11" s="51" t="str">
        <f>IF(F11&gt;0,(_xlfn.CONCAT(F11,".",G11)),H11)</f>
        <v>1084.ENON</v>
      </c>
      <c r="K11" s="52" t="str">
        <f t="shared" si="1"/>
        <v>M Donadio-CRUST - BALLARA-Wednesday lunch</v>
      </c>
      <c r="L11" s="52" t="s">
        <v>32</v>
      </c>
      <c r="M11" s="53">
        <f t="shared" si="2"/>
        <v>963</v>
      </c>
      <c r="N11" s="54" t="s">
        <v>33</v>
      </c>
      <c r="O11" s="44"/>
      <c r="P11" s="55"/>
      <c r="R11" s="21">
        <f t="shared" si="3"/>
        <v>41</v>
      </c>
    </row>
    <row r="12" spans="1:18" ht="15.75" thickBot="1" x14ac:dyDescent="0.25">
      <c r="A12" s="45">
        <v>45875</v>
      </c>
      <c r="B12" s="45" t="s">
        <v>117</v>
      </c>
      <c r="C12" s="46">
        <v>353.6</v>
      </c>
      <c r="D12" s="46"/>
      <c r="E12" s="14" t="s">
        <v>112</v>
      </c>
      <c r="F12" s="49">
        <v>1084</v>
      </c>
      <c r="G12" s="14" t="s">
        <v>113</v>
      </c>
      <c r="H12" s="15"/>
      <c r="J12" s="51" t="str">
        <f t="shared" si="0"/>
        <v>1084.PERS</v>
      </c>
      <c r="K12" s="52" t="str">
        <f t="shared" si="1"/>
        <v>M Donadio-SP RUNAWAYTHELA-Personal Exp</v>
      </c>
      <c r="L12" s="52" t="s">
        <v>32</v>
      </c>
      <c r="M12" s="53">
        <f t="shared" si="2"/>
        <v>353.6</v>
      </c>
      <c r="N12" s="54" t="s">
        <v>150</v>
      </c>
      <c r="O12" s="44"/>
      <c r="P12" s="55"/>
      <c r="R12" s="21">
        <f t="shared" si="3"/>
        <v>38</v>
      </c>
    </row>
    <row r="13" spans="1:18" ht="15.75" thickBot="1" x14ac:dyDescent="0.25">
      <c r="A13" s="45">
        <v>45873</v>
      </c>
      <c r="B13" s="45" t="s">
        <v>118</v>
      </c>
      <c r="C13" s="46">
        <v>111.31</v>
      </c>
      <c r="D13" s="46"/>
      <c r="E13" s="14" t="s">
        <v>119</v>
      </c>
      <c r="F13" s="49">
        <v>1084</v>
      </c>
      <c r="G13" s="14" t="s">
        <v>120</v>
      </c>
      <c r="H13" s="15"/>
      <c r="J13" s="51" t="str">
        <f t="shared" si="0"/>
        <v>1084.WEBS</v>
      </c>
      <c r="K13" s="52" t="str">
        <f t="shared" si="1"/>
        <v>M Donadio-DNH*GODADDY#384-Domain registrations</v>
      </c>
      <c r="L13" s="52" t="s">
        <v>32</v>
      </c>
      <c r="M13" s="53">
        <f t="shared" si="2"/>
        <v>111.31</v>
      </c>
      <c r="N13" s="54" t="s">
        <v>33</v>
      </c>
      <c r="O13" s="44"/>
      <c r="P13" s="55"/>
      <c r="R13" s="21">
        <f t="shared" si="3"/>
        <v>46</v>
      </c>
    </row>
    <row r="14" spans="1:18" ht="15.75" thickBot="1" x14ac:dyDescent="0.25">
      <c r="A14" s="45">
        <v>45871</v>
      </c>
      <c r="B14" s="45" t="s">
        <v>114</v>
      </c>
      <c r="C14" s="46">
        <v>137</v>
      </c>
      <c r="D14" s="46"/>
      <c r="E14" s="14" t="s">
        <v>121</v>
      </c>
      <c r="F14" s="49">
        <v>1084</v>
      </c>
      <c r="G14" s="14" t="s">
        <v>116</v>
      </c>
      <c r="H14" s="15"/>
      <c r="J14" s="51" t="str">
        <f t="shared" si="0"/>
        <v>1084.ENON</v>
      </c>
      <c r="K14" s="52" t="str">
        <f t="shared" si="1"/>
        <v>M Donadio-CRUST - BALLARA-Lunch on Go Live weekend</v>
      </c>
      <c r="L14" s="52" t="s">
        <v>32</v>
      </c>
      <c r="M14" s="53">
        <f t="shared" si="2"/>
        <v>137</v>
      </c>
      <c r="N14" s="54" t="s">
        <v>33</v>
      </c>
      <c r="O14" s="44"/>
      <c r="P14" s="55"/>
      <c r="R14" s="21">
        <f t="shared" si="3"/>
        <v>50</v>
      </c>
    </row>
    <row r="15" spans="1:18" ht="15.75" thickBot="1" x14ac:dyDescent="0.25">
      <c r="A15" s="45">
        <v>45868</v>
      </c>
      <c r="B15" s="45" t="s">
        <v>122</v>
      </c>
      <c r="C15" s="46">
        <v>54.86</v>
      </c>
      <c r="D15" s="46"/>
      <c r="E15" s="14" t="s">
        <v>123</v>
      </c>
      <c r="F15" s="49">
        <v>1084</v>
      </c>
      <c r="G15" s="14" t="s">
        <v>116</v>
      </c>
      <c r="H15" s="15"/>
      <c r="J15" s="51" t="str">
        <f t="shared" si="0"/>
        <v>1084.ENON</v>
      </c>
      <c r="K15" s="52" t="str">
        <f t="shared" si="1"/>
        <v>M Donadio-SQ *NAOMI &amp; I S-Morning tea</v>
      </c>
      <c r="L15" s="52" t="s">
        <v>32</v>
      </c>
      <c r="M15" s="53">
        <f t="shared" si="2"/>
        <v>54.86</v>
      </c>
      <c r="N15" s="54" t="s">
        <v>33</v>
      </c>
      <c r="O15" s="44"/>
      <c r="P15" s="55"/>
      <c r="R15" s="21">
        <f t="shared" si="3"/>
        <v>37</v>
      </c>
    </row>
    <row r="16" spans="1:18" ht="15.75" thickBot="1" x14ac:dyDescent="0.25">
      <c r="A16" s="45">
        <v>45868</v>
      </c>
      <c r="B16" s="45" t="s">
        <v>124</v>
      </c>
      <c r="C16" s="46">
        <v>78</v>
      </c>
      <c r="D16" s="46"/>
      <c r="E16" s="14" t="s">
        <v>125</v>
      </c>
      <c r="F16" s="49">
        <v>1084</v>
      </c>
      <c r="G16" s="14" t="s">
        <v>126</v>
      </c>
      <c r="H16" s="15"/>
      <c r="J16" s="51" t="str">
        <f t="shared" si="0"/>
        <v>1084.STAF</v>
      </c>
      <c r="K16" s="52" t="str">
        <f t="shared" si="1"/>
        <v>M Donadio-BWS LIQUOR     -Gift for Daniel V (Staff costs and Amenities)</v>
      </c>
      <c r="L16" s="52" t="s">
        <v>32</v>
      </c>
      <c r="M16" s="53">
        <f t="shared" si="2"/>
        <v>78</v>
      </c>
      <c r="N16" s="54" t="s">
        <v>33</v>
      </c>
      <c r="O16" s="44"/>
      <c r="P16" s="55"/>
      <c r="R16" s="21">
        <f t="shared" si="3"/>
        <v>71</v>
      </c>
    </row>
    <row r="17" spans="1:18" ht="15.75" thickBot="1" x14ac:dyDescent="0.25">
      <c r="A17" s="45">
        <v>45868</v>
      </c>
      <c r="B17" s="45" t="s">
        <v>127</v>
      </c>
      <c r="C17" s="46">
        <v>77.5</v>
      </c>
      <c r="D17" s="46"/>
      <c r="E17" s="14" t="s">
        <v>123</v>
      </c>
      <c r="F17" s="49">
        <v>1084</v>
      </c>
      <c r="G17" s="14" t="s">
        <v>116</v>
      </c>
      <c r="H17" s="15"/>
      <c r="J17" s="51" t="str">
        <f t="shared" ref="J17:J26" si="4">IF(F17&gt;0,(_xlfn.CONCAT(F17,".",G17)),H17)</f>
        <v>1084.ENON</v>
      </c>
      <c r="K17" s="52" t="str">
        <f t="shared" si="1"/>
        <v>M Donadio-WOOLWORTHS     -Morning tea</v>
      </c>
      <c r="L17" s="52" t="s">
        <v>32</v>
      </c>
      <c r="M17" s="53">
        <f t="shared" ref="M17:M26" si="5">IF(C17&gt;0,C17,-D17)</f>
        <v>77.5</v>
      </c>
      <c r="N17" s="54" t="s">
        <v>33</v>
      </c>
      <c r="O17" s="44"/>
      <c r="P17" s="55"/>
      <c r="R17" s="21">
        <f t="shared" si="3"/>
        <v>37</v>
      </c>
    </row>
    <row r="18" spans="1:18" ht="15.75" thickBot="1" x14ac:dyDescent="0.25">
      <c r="A18" s="45">
        <v>45868</v>
      </c>
      <c r="B18" s="45" t="s">
        <v>128</v>
      </c>
      <c r="C18" s="46">
        <v>52.1</v>
      </c>
      <c r="D18" s="46"/>
      <c r="E18" s="14" t="s">
        <v>123</v>
      </c>
      <c r="F18" s="49">
        <v>1084</v>
      </c>
      <c r="G18" s="14" t="s">
        <v>116</v>
      </c>
      <c r="H18" s="15"/>
      <c r="J18" s="51" t="str">
        <f t="shared" si="4"/>
        <v>1084.ENON</v>
      </c>
      <c r="K18" s="52" t="str">
        <f t="shared" si="1"/>
        <v>M Donadio-BAKERS DELIGHT -Morning tea</v>
      </c>
      <c r="L18" s="52" t="s">
        <v>32</v>
      </c>
      <c r="M18" s="53">
        <f t="shared" si="5"/>
        <v>52.1</v>
      </c>
      <c r="N18" s="54" t="s">
        <v>33</v>
      </c>
      <c r="O18" s="44"/>
      <c r="P18" s="55"/>
      <c r="R18" s="21">
        <f t="shared" si="3"/>
        <v>37</v>
      </c>
    </row>
    <row r="19" spans="1:18" ht="15.75" thickBot="1" x14ac:dyDescent="0.25">
      <c r="A19" s="45">
        <v>45867</v>
      </c>
      <c r="B19" s="45" t="s">
        <v>129</v>
      </c>
      <c r="C19" s="46">
        <v>1308.54</v>
      </c>
      <c r="D19" s="46"/>
      <c r="E19" s="14" t="s">
        <v>130</v>
      </c>
      <c r="F19" s="49">
        <v>1084</v>
      </c>
      <c r="G19" s="14" t="s">
        <v>131</v>
      </c>
      <c r="H19" s="15"/>
      <c r="J19" s="51" t="str">
        <f t="shared" si="4"/>
        <v>1084.RECR</v>
      </c>
      <c r="K19" s="52" t="str">
        <f t="shared" si="1"/>
        <v>M Donadio-LinkedIn 104592-LinkedIn Recruiter</v>
      </c>
      <c r="L19" s="52" t="s">
        <v>32</v>
      </c>
      <c r="M19" s="53">
        <f t="shared" si="5"/>
        <v>1308.54</v>
      </c>
      <c r="N19" s="54" t="s">
        <v>33</v>
      </c>
      <c r="O19" s="44"/>
      <c r="P19" s="55"/>
      <c r="R19" s="21">
        <f t="shared" si="3"/>
        <v>44</v>
      </c>
    </row>
    <row r="20" spans="1:18" ht="15.75" thickBot="1" x14ac:dyDescent="0.25">
      <c r="A20" s="45">
        <v>45860</v>
      </c>
      <c r="B20" s="45" t="s">
        <v>81</v>
      </c>
      <c r="C20" s="46">
        <v>278</v>
      </c>
      <c r="D20" s="46"/>
      <c r="E20" s="14" t="s">
        <v>132</v>
      </c>
      <c r="F20" s="49">
        <v>1084</v>
      </c>
      <c r="G20" s="14" t="s">
        <v>133</v>
      </c>
      <c r="H20" s="15"/>
      <c r="J20" s="51" t="str">
        <f t="shared" si="4"/>
        <v>1084.INTE</v>
      </c>
      <c r="K20" s="52" t="str">
        <f t="shared" si="1"/>
        <v>M Donadio-STARLINK INTERN-Internet</v>
      </c>
      <c r="L20" s="52" t="s">
        <v>32</v>
      </c>
      <c r="M20" s="53">
        <f t="shared" si="5"/>
        <v>278</v>
      </c>
      <c r="N20" s="54" t="s">
        <v>33</v>
      </c>
      <c r="O20" s="44"/>
      <c r="P20" s="55"/>
      <c r="R20" s="21">
        <f t="shared" si="3"/>
        <v>34</v>
      </c>
    </row>
    <row r="21" spans="1:18" ht="15.75" thickBot="1" x14ac:dyDescent="0.25">
      <c r="A21" s="45">
        <v>45860</v>
      </c>
      <c r="B21" s="45" t="s">
        <v>127</v>
      </c>
      <c r="C21" s="46">
        <v>89.48</v>
      </c>
      <c r="D21" s="46"/>
      <c r="E21" s="14" t="s">
        <v>123</v>
      </c>
      <c r="F21" s="49">
        <v>1084</v>
      </c>
      <c r="G21" s="14" t="s">
        <v>116</v>
      </c>
      <c r="H21" s="15"/>
      <c r="J21" s="51" t="str">
        <f t="shared" si="4"/>
        <v>1084.ENON</v>
      </c>
      <c r="K21" s="52" t="str">
        <f t="shared" si="1"/>
        <v>M Donadio-WOOLWORTHS     -Morning tea</v>
      </c>
      <c r="L21" s="52" t="s">
        <v>32</v>
      </c>
      <c r="M21" s="53">
        <f t="shared" si="5"/>
        <v>89.48</v>
      </c>
      <c r="N21" s="54" t="s">
        <v>33</v>
      </c>
      <c r="O21" s="44"/>
      <c r="P21" s="55"/>
      <c r="R21" s="21">
        <f t="shared" si="3"/>
        <v>37</v>
      </c>
    </row>
    <row r="22" spans="1:18" ht="15.75" thickBot="1" x14ac:dyDescent="0.25">
      <c r="A22" s="45">
        <v>45859</v>
      </c>
      <c r="B22" s="45" t="s">
        <v>128</v>
      </c>
      <c r="C22" s="46">
        <v>29.8</v>
      </c>
      <c r="D22" s="46"/>
      <c r="E22" s="14" t="s">
        <v>123</v>
      </c>
      <c r="F22" s="49">
        <v>1084</v>
      </c>
      <c r="G22" s="14" t="s">
        <v>116</v>
      </c>
      <c r="H22" s="15"/>
      <c r="J22" s="51" t="str">
        <f t="shared" si="4"/>
        <v>1084.ENON</v>
      </c>
      <c r="K22" s="52" t="str">
        <f t="shared" si="1"/>
        <v>M Donadio-BAKERS DELIGHT -Morning tea</v>
      </c>
      <c r="L22" s="52" t="s">
        <v>32</v>
      </c>
      <c r="M22" s="53">
        <f t="shared" si="5"/>
        <v>29.8</v>
      </c>
      <c r="N22" s="54" t="s">
        <v>33</v>
      </c>
      <c r="O22" s="44"/>
      <c r="P22" s="55"/>
      <c r="R22" s="21">
        <f t="shared" si="3"/>
        <v>37</v>
      </c>
    </row>
    <row r="23" spans="1:18" ht="15.75" thickBot="1" x14ac:dyDescent="0.25">
      <c r="A23" s="45">
        <v>45854</v>
      </c>
      <c r="B23" s="45" t="s">
        <v>122</v>
      </c>
      <c r="C23" s="46">
        <v>65.63</v>
      </c>
      <c r="D23" s="46"/>
      <c r="E23" s="14" t="s">
        <v>123</v>
      </c>
      <c r="F23" s="49">
        <v>1084</v>
      </c>
      <c r="G23" s="14" t="s">
        <v>116</v>
      </c>
      <c r="H23" s="15"/>
      <c r="J23" s="51" t="str">
        <f t="shared" si="4"/>
        <v>1084.ENON</v>
      </c>
      <c r="K23" s="52" t="str">
        <f t="shared" si="1"/>
        <v>M Donadio-SQ *NAOMI &amp; I S-Morning tea</v>
      </c>
      <c r="L23" s="52" t="s">
        <v>32</v>
      </c>
      <c r="M23" s="53">
        <f t="shared" si="5"/>
        <v>65.63</v>
      </c>
      <c r="N23" s="54" t="s">
        <v>33</v>
      </c>
      <c r="O23" s="44"/>
      <c r="P23" s="55"/>
      <c r="R23" s="21">
        <f t="shared" si="3"/>
        <v>37</v>
      </c>
    </row>
    <row r="24" spans="1:18" ht="15.75" thickBot="1" x14ac:dyDescent="0.25">
      <c r="A24" s="45">
        <v>45854</v>
      </c>
      <c r="B24" s="45" t="s">
        <v>128</v>
      </c>
      <c r="C24" s="46">
        <v>17.2</v>
      </c>
      <c r="D24" s="46"/>
      <c r="E24" s="14" t="s">
        <v>123</v>
      </c>
      <c r="F24" s="49">
        <v>1084</v>
      </c>
      <c r="G24" s="14" t="s">
        <v>116</v>
      </c>
      <c r="H24" s="15"/>
      <c r="J24" s="51" t="str">
        <f t="shared" si="4"/>
        <v>1084.ENON</v>
      </c>
      <c r="K24" s="52" t="str">
        <f t="shared" si="1"/>
        <v>M Donadio-BAKERS DELIGHT -Morning tea</v>
      </c>
      <c r="L24" s="52" t="s">
        <v>32</v>
      </c>
      <c r="M24" s="53">
        <f t="shared" si="5"/>
        <v>17.2</v>
      </c>
      <c r="N24" s="54" t="s">
        <v>33</v>
      </c>
      <c r="O24" s="44"/>
      <c r="P24" s="55"/>
      <c r="R24" s="21">
        <f t="shared" si="3"/>
        <v>37</v>
      </c>
    </row>
    <row r="25" spans="1:18" ht="15.75" thickBot="1" x14ac:dyDescent="0.25">
      <c r="A25" s="45">
        <v>45854</v>
      </c>
      <c r="B25" s="45" t="s">
        <v>127</v>
      </c>
      <c r="C25" s="46">
        <v>27</v>
      </c>
      <c r="D25" s="46"/>
      <c r="E25" s="14" t="s">
        <v>123</v>
      </c>
      <c r="F25" s="49">
        <v>1084</v>
      </c>
      <c r="G25" s="14" t="s">
        <v>116</v>
      </c>
      <c r="H25" s="15"/>
      <c r="J25" s="51" t="str">
        <f t="shared" si="4"/>
        <v>1084.ENON</v>
      </c>
      <c r="K25" s="52" t="str">
        <f t="shared" si="1"/>
        <v>M Donadio-WOOLWORTHS     -Morning tea</v>
      </c>
      <c r="L25" s="52" t="s">
        <v>32</v>
      </c>
      <c r="M25" s="53">
        <f t="shared" si="5"/>
        <v>27</v>
      </c>
      <c r="N25" s="54" t="s">
        <v>33</v>
      </c>
      <c r="O25" s="44"/>
      <c r="P25" s="55"/>
      <c r="R25" s="21">
        <f t="shared" si="3"/>
        <v>37</v>
      </c>
    </row>
    <row r="26" spans="1:18" ht="15.75" thickBot="1" x14ac:dyDescent="0.25">
      <c r="A26" s="45">
        <v>45853</v>
      </c>
      <c r="B26" s="45" t="s">
        <v>118</v>
      </c>
      <c r="C26" s="46">
        <v>70.2</v>
      </c>
      <c r="D26" s="46"/>
      <c r="E26" s="14" t="s">
        <v>119</v>
      </c>
      <c r="F26" s="49">
        <v>1084</v>
      </c>
      <c r="G26" s="14" t="s">
        <v>120</v>
      </c>
      <c r="H26" s="15"/>
      <c r="J26" s="51" t="str">
        <f t="shared" si="4"/>
        <v>1084.WEBS</v>
      </c>
      <c r="K26" s="52" t="str">
        <f t="shared" si="1"/>
        <v>M Donadio-DNH*GODADDY#384-Domain registrations</v>
      </c>
      <c r="L26" s="52"/>
      <c r="M26" s="53">
        <f t="shared" si="5"/>
        <v>70.2</v>
      </c>
      <c r="N26" s="54" t="s">
        <v>33</v>
      </c>
      <c r="O26" s="44"/>
      <c r="P26" s="55"/>
      <c r="R26" s="21">
        <f t="shared" si="3"/>
        <v>46</v>
      </c>
    </row>
    <row r="27" spans="1:18" x14ac:dyDescent="0.2">
      <c r="R27" s="21">
        <f t="shared" si="3"/>
        <v>0</v>
      </c>
    </row>
    <row r="28" spans="1:18" x14ac:dyDescent="0.2">
      <c r="R28" s="21">
        <f t="shared" si="3"/>
        <v>0</v>
      </c>
    </row>
    <row r="29" spans="1:18" x14ac:dyDescent="0.2">
      <c r="R29" s="21">
        <f t="shared" si="3"/>
        <v>0</v>
      </c>
    </row>
    <row r="30" spans="1:18" x14ac:dyDescent="0.2">
      <c r="R30" s="21">
        <f t="shared" si="3"/>
        <v>0</v>
      </c>
    </row>
    <row r="31" spans="1:18" x14ac:dyDescent="0.2">
      <c r="R31" s="21">
        <f t="shared" si="3"/>
        <v>0</v>
      </c>
    </row>
    <row r="32" spans="1:18" x14ac:dyDescent="0.2">
      <c r="R32" s="21">
        <f t="shared" si="3"/>
        <v>0</v>
      </c>
    </row>
    <row r="33" spans="18:18" x14ac:dyDescent="0.2">
      <c r="R33" s="21">
        <f t="shared" si="3"/>
        <v>0</v>
      </c>
    </row>
    <row r="34" spans="18:18" x14ac:dyDescent="0.2">
      <c r="R34" s="21">
        <f t="shared" si="3"/>
        <v>0</v>
      </c>
    </row>
    <row r="35" spans="18:18" x14ac:dyDescent="0.2">
      <c r="R35" s="21">
        <f t="shared" si="3"/>
        <v>0</v>
      </c>
    </row>
  </sheetData>
  <mergeCells count="5">
    <mergeCell ref="J1:P1"/>
    <mergeCell ref="A4:H4"/>
    <mergeCell ref="J5:Q5"/>
    <mergeCell ref="E6:H7"/>
    <mergeCell ref="A1:H3"/>
  </mergeCells>
  <conditionalFormatting sqref="B27:B49">
    <cfRule type="cellIs" dxfId="19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5" tint="0.79998168889431442"/>
  </sheetPr>
  <dimension ref="A1:R35"/>
  <sheetViews>
    <sheetView topLeftCell="C1" workbookViewId="0">
      <selection activeCell="E11" sqref="E11"/>
    </sheetView>
  </sheetViews>
  <sheetFormatPr defaultRowHeight="12.75" x14ac:dyDescent="0.2"/>
  <cols>
    <col min="1" max="1" width="17.42578125" style="3" customWidth="1"/>
    <col min="2" max="2" width="47.42578125" customWidth="1"/>
    <col min="3" max="3" width="13.5703125" customWidth="1"/>
    <col min="4" max="4" width="16.42578125" customWidth="1"/>
    <col min="5" max="5" width="39.5703125" customWidth="1"/>
    <col min="6" max="6" width="14.140625" bestFit="1" customWidth="1"/>
    <col min="7" max="7" width="13.42578125" bestFit="1" customWidth="1"/>
    <col min="8" max="8" width="15.5703125" customWidth="1"/>
    <col min="9" max="9" width="2.42578125" customWidth="1"/>
    <col min="10" max="10" width="21.85546875" bestFit="1" customWidth="1"/>
    <col min="11" max="11" width="19.42578125" bestFit="1" customWidth="1"/>
    <col min="12" max="12" width="4" bestFit="1" customWidth="1"/>
    <col min="15" max="15" width="21.42578125" customWidth="1"/>
    <col min="16" max="16" width="15.85546875" customWidth="1"/>
  </cols>
  <sheetData>
    <row r="1" spans="1:18" ht="12" customHeight="1" x14ac:dyDescent="0.2">
      <c r="A1" s="118" t="s">
        <v>12</v>
      </c>
      <c r="B1" s="119"/>
      <c r="C1" s="119"/>
      <c r="D1" s="119"/>
      <c r="E1" s="119"/>
      <c r="F1" s="119"/>
      <c r="G1" s="119"/>
      <c r="H1" s="119"/>
      <c r="J1" s="113" t="s">
        <v>13</v>
      </c>
      <c r="K1" s="113"/>
      <c r="L1" s="113"/>
      <c r="M1" s="113"/>
      <c r="N1" s="113"/>
      <c r="O1" s="113"/>
      <c r="P1" s="113"/>
    </row>
    <row r="2" spans="1:18" ht="12" customHeight="1" x14ac:dyDescent="0.2">
      <c r="A2" s="118"/>
      <c r="B2" s="119"/>
      <c r="C2" s="119"/>
      <c r="D2" s="119"/>
      <c r="E2" s="119"/>
      <c r="F2" s="119"/>
      <c r="G2" s="119"/>
      <c r="H2" s="119"/>
      <c r="J2" s="74" t="s">
        <v>508</v>
      </c>
      <c r="K2" s="88">
        <v>366.53</v>
      </c>
      <c r="L2" s="74"/>
      <c r="M2" s="74"/>
      <c r="N2" s="74"/>
      <c r="O2" s="74"/>
      <c r="P2" s="74"/>
    </row>
    <row r="3" spans="1:18" ht="12" customHeight="1" x14ac:dyDescent="0.2">
      <c r="A3" s="118"/>
      <c r="B3" s="119"/>
      <c r="C3" s="119"/>
      <c r="D3" s="119"/>
      <c r="E3" s="119"/>
      <c r="F3" s="119"/>
      <c r="G3" s="119"/>
      <c r="H3" s="119"/>
      <c r="J3" t="s">
        <v>509</v>
      </c>
      <c r="K3" s="21">
        <f>SUM(M9:M144)</f>
        <v>366.53</v>
      </c>
      <c r="L3" s="74"/>
      <c r="M3" s="74"/>
      <c r="N3" s="74"/>
      <c r="O3" s="74"/>
      <c r="P3" s="74"/>
    </row>
    <row r="4" spans="1:18" ht="12" customHeight="1" x14ac:dyDescent="0.2">
      <c r="A4" s="114" t="s">
        <v>134</v>
      </c>
      <c r="B4" s="113"/>
      <c r="C4" s="113"/>
      <c r="D4" s="113"/>
      <c r="E4" s="113"/>
      <c r="F4" s="113"/>
      <c r="G4" s="113"/>
      <c r="H4" s="113"/>
      <c r="J4" t="s">
        <v>510</v>
      </c>
      <c r="K4" s="21">
        <f>K2-K3</f>
        <v>0</v>
      </c>
    </row>
    <row r="5" spans="1:18" ht="12" customHeight="1" x14ac:dyDescent="0.2">
      <c r="A5" s="9" t="s">
        <v>3</v>
      </c>
      <c r="B5" s="10" t="str">
        <f>CONCATENATE(Header!$E$4,"DUVA")</f>
        <v>MC-250816DUVA</v>
      </c>
      <c r="C5" s="8"/>
      <c r="D5" s="8"/>
      <c r="E5" s="8"/>
      <c r="J5" s="115" t="s">
        <v>15</v>
      </c>
      <c r="K5" s="115"/>
      <c r="L5" s="115"/>
      <c r="M5" s="115"/>
      <c r="N5" s="115"/>
      <c r="O5" s="115"/>
      <c r="P5" s="115"/>
      <c r="Q5" s="115"/>
    </row>
    <row r="6" spans="1:18" ht="12" customHeight="1" x14ac:dyDescent="0.2">
      <c r="A6" s="9" t="s">
        <v>5</v>
      </c>
      <c r="B6" s="12">
        <f>Header!$E$5</f>
        <v>45885</v>
      </c>
      <c r="C6" s="8"/>
      <c r="D6" s="8"/>
      <c r="E6" s="116" t="s">
        <v>16</v>
      </c>
      <c r="F6" s="116"/>
      <c r="G6" s="116"/>
      <c r="H6" s="116"/>
    </row>
    <row r="7" spans="1:18" ht="12" customHeight="1" thickBot="1" x14ac:dyDescent="0.25">
      <c r="A7" s="11"/>
      <c r="B7" s="8"/>
      <c r="C7" s="8"/>
      <c r="D7" s="8"/>
      <c r="E7" s="117"/>
      <c r="F7" s="117"/>
      <c r="G7" s="117"/>
      <c r="H7" s="117"/>
    </row>
    <row r="8" spans="1:18" ht="45.75" thickBot="1" x14ac:dyDescent="0.25">
      <c r="A8" s="32" t="s">
        <v>17</v>
      </c>
      <c r="B8" s="33" t="s">
        <v>18</v>
      </c>
      <c r="C8" s="33" t="s">
        <v>19</v>
      </c>
      <c r="D8" s="33" t="s">
        <v>20</v>
      </c>
      <c r="E8" s="19" t="s">
        <v>36</v>
      </c>
      <c r="F8" s="16" t="s">
        <v>22</v>
      </c>
      <c r="G8" s="17" t="s">
        <v>23</v>
      </c>
      <c r="H8" s="18" t="s">
        <v>24</v>
      </c>
      <c r="J8" s="32" t="s">
        <v>25</v>
      </c>
      <c r="K8" s="33" t="s">
        <v>3</v>
      </c>
      <c r="L8" s="33" t="s">
        <v>26</v>
      </c>
      <c r="M8" s="33" t="s">
        <v>27</v>
      </c>
      <c r="N8" s="34" t="s">
        <v>28</v>
      </c>
      <c r="O8" s="34" t="s">
        <v>29</v>
      </c>
      <c r="P8" s="34" t="s">
        <v>30</v>
      </c>
      <c r="R8" s="90" t="s">
        <v>511</v>
      </c>
    </row>
    <row r="9" spans="1:18" ht="15.75" thickBot="1" x14ac:dyDescent="0.25">
      <c r="A9" s="45">
        <v>45881</v>
      </c>
      <c r="B9" s="45" t="s">
        <v>51</v>
      </c>
      <c r="C9" s="46">
        <v>16.899999999999999</v>
      </c>
      <c r="D9" s="46"/>
      <c r="E9" s="14" t="s">
        <v>478</v>
      </c>
      <c r="F9" s="49">
        <v>1041</v>
      </c>
      <c r="G9" s="14" t="s">
        <v>116</v>
      </c>
      <c r="H9" s="15"/>
      <c r="J9" s="51" t="str">
        <f t="shared" ref="J9:J18" si="0">IF(F9&gt;0,(_xlfn.CONCAT(F9,".",G9)),H9)</f>
        <v>1041.ENON</v>
      </c>
      <c r="K9" s="52" t="str">
        <f>_xlfn.CONCAT("L Duva-",(LEFT(B9,15)),"-",E9)</f>
        <v>L Duva-SQ *NOURISH KIT-Weekly work lunch</v>
      </c>
      <c r="L9" s="52" t="s">
        <v>32</v>
      </c>
      <c r="M9" s="53">
        <f>IF(C9&gt;0,C9,-D9)</f>
        <v>16.899999999999999</v>
      </c>
      <c r="N9" s="54" t="s">
        <v>33</v>
      </c>
      <c r="O9" s="44"/>
      <c r="P9" s="55"/>
      <c r="Q9" t="s">
        <v>34</v>
      </c>
      <c r="R9" s="21">
        <f>LEN(K9)</f>
        <v>40</v>
      </c>
    </row>
    <row r="10" spans="1:18" ht="15.75" thickBot="1" x14ac:dyDescent="0.25">
      <c r="A10" s="47">
        <v>45873</v>
      </c>
      <c r="B10" s="47" t="s">
        <v>135</v>
      </c>
      <c r="C10" s="48">
        <v>32.5</v>
      </c>
      <c r="D10" s="48"/>
      <c r="E10" s="14" t="s">
        <v>478</v>
      </c>
      <c r="F10" s="49">
        <v>1041</v>
      </c>
      <c r="G10" s="14" t="s">
        <v>116</v>
      </c>
      <c r="H10" s="50"/>
      <c r="J10" s="51" t="str">
        <f t="shared" si="0"/>
        <v>1041.ENON</v>
      </c>
      <c r="K10" s="52" t="str">
        <f t="shared" ref="K10:K18" si="1">_xlfn.CONCAT("L Duva-",(LEFT(B10,15)),"-",E10)</f>
        <v>L Duva-TSUKE BA LEEDER-Weekly work lunch</v>
      </c>
      <c r="L10" s="52" t="s">
        <v>32</v>
      </c>
      <c r="M10" s="53">
        <f t="shared" ref="M10:M18" si="2">IF(C10&gt;0,C10,-D10)</f>
        <v>32.5</v>
      </c>
      <c r="N10" s="54" t="s">
        <v>33</v>
      </c>
      <c r="O10" s="44"/>
      <c r="P10" s="54"/>
      <c r="R10" s="21">
        <f t="shared" ref="R10:R35" si="3">LEN(K10)</f>
        <v>40</v>
      </c>
    </row>
    <row r="11" spans="1:18" ht="15.75" thickBot="1" x14ac:dyDescent="0.25">
      <c r="A11" s="47">
        <v>45871</v>
      </c>
      <c r="B11" s="47" t="s">
        <v>42</v>
      </c>
      <c r="C11" s="48">
        <v>34.979999999999997</v>
      </c>
      <c r="D11" s="48"/>
      <c r="E11" s="13" t="s">
        <v>480</v>
      </c>
      <c r="F11" s="49">
        <v>1041</v>
      </c>
      <c r="G11" s="13" t="s">
        <v>232</v>
      </c>
      <c r="H11" s="13"/>
      <c r="J11" s="51" t="str">
        <f>IF(F11&gt;0,(_xlfn.CONCAT(F11,".",G11)),H11)</f>
        <v>1041.TRAV</v>
      </c>
      <c r="K11" s="52" t="str">
        <f t="shared" si="1"/>
        <v>L Duva-UBER *TRIP HELP-Travel - Networking Event: Jeans for Genes fundraiser</v>
      </c>
      <c r="L11" s="52" t="s">
        <v>32</v>
      </c>
      <c r="M11" s="53">
        <f t="shared" si="2"/>
        <v>34.979999999999997</v>
      </c>
      <c r="N11" s="54" t="s">
        <v>33</v>
      </c>
      <c r="O11" s="44"/>
      <c r="P11" s="54"/>
      <c r="R11" s="21">
        <f t="shared" si="3"/>
        <v>76</v>
      </c>
    </row>
    <row r="12" spans="1:18" ht="15.75" thickBot="1" x14ac:dyDescent="0.25">
      <c r="A12" s="47">
        <v>45871</v>
      </c>
      <c r="B12" s="47" t="s">
        <v>42</v>
      </c>
      <c r="C12" s="48">
        <v>36.07</v>
      </c>
      <c r="D12" s="48"/>
      <c r="E12" s="13" t="s">
        <v>480</v>
      </c>
      <c r="F12" s="49">
        <v>1041</v>
      </c>
      <c r="G12" s="13" t="s">
        <v>232</v>
      </c>
      <c r="H12" s="50"/>
      <c r="J12" s="51" t="str">
        <f t="shared" si="0"/>
        <v>1041.TRAV</v>
      </c>
      <c r="K12" s="52" t="str">
        <f t="shared" si="1"/>
        <v>L Duva-UBER *TRIP HELP-Travel - Networking Event: Jeans for Genes fundraiser</v>
      </c>
      <c r="L12" s="52" t="s">
        <v>32</v>
      </c>
      <c r="M12" s="53">
        <f t="shared" si="2"/>
        <v>36.07</v>
      </c>
      <c r="N12" s="54" t="s">
        <v>33</v>
      </c>
      <c r="O12" s="44"/>
      <c r="P12" s="54"/>
      <c r="R12" s="21">
        <f t="shared" si="3"/>
        <v>76</v>
      </c>
    </row>
    <row r="13" spans="1:18" ht="15.75" thickBot="1" x14ac:dyDescent="0.25">
      <c r="A13" s="47">
        <v>45867</v>
      </c>
      <c r="B13" s="47" t="s">
        <v>136</v>
      </c>
      <c r="C13" s="48">
        <v>26.8</v>
      </c>
      <c r="D13" s="48"/>
      <c r="E13" s="14" t="s">
        <v>478</v>
      </c>
      <c r="F13" s="49">
        <v>1041</v>
      </c>
      <c r="G13" s="14" t="s">
        <v>116</v>
      </c>
      <c r="H13" s="13"/>
      <c r="J13" s="51" t="str">
        <f t="shared" si="0"/>
        <v>1041.ENON</v>
      </c>
      <c r="K13" s="52" t="str">
        <f t="shared" si="1"/>
        <v>L Duva-GYG Leederville-Weekly work lunch</v>
      </c>
      <c r="L13" s="52" t="s">
        <v>32</v>
      </c>
      <c r="M13" s="53">
        <f t="shared" si="2"/>
        <v>26.8</v>
      </c>
      <c r="N13" s="54" t="s">
        <v>33</v>
      </c>
      <c r="O13" s="44"/>
      <c r="P13" s="54"/>
      <c r="R13" s="21">
        <f t="shared" si="3"/>
        <v>40</v>
      </c>
    </row>
    <row r="14" spans="1:18" ht="15.75" thickBot="1" x14ac:dyDescent="0.25">
      <c r="A14" s="47">
        <v>45855</v>
      </c>
      <c r="B14" s="47" t="s">
        <v>137</v>
      </c>
      <c r="C14" s="48">
        <v>93.24</v>
      </c>
      <c r="D14" s="48"/>
      <c r="E14" s="13" t="s">
        <v>481</v>
      </c>
      <c r="F14" s="56" t="s">
        <v>501</v>
      </c>
      <c r="G14" s="13" t="s">
        <v>359</v>
      </c>
      <c r="H14" s="13"/>
      <c r="J14" s="51" t="str">
        <f t="shared" si="0"/>
        <v>S17144.TRVP</v>
      </c>
      <c r="K14" s="52" t="str">
        <f t="shared" si="1"/>
        <v>L Duva-AUZICAB 0478 04-Gruyere - Travel to airport</v>
      </c>
      <c r="L14" s="52" t="s">
        <v>32</v>
      </c>
      <c r="M14" s="53">
        <f t="shared" si="2"/>
        <v>93.24</v>
      </c>
      <c r="N14" s="54" t="s">
        <v>33</v>
      </c>
      <c r="O14" s="44"/>
      <c r="P14" s="54" t="s">
        <v>502</v>
      </c>
      <c r="R14" s="21">
        <f t="shared" si="3"/>
        <v>50</v>
      </c>
    </row>
    <row r="15" spans="1:18" ht="15.75" thickBot="1" x14ac:dyDescent="0.25">
      <c r="A15" s="47">
        <v>45854</v>
      </c>
      <c r="B15" s="47" t="s">
        <v>138</v>
      </c>
      <c r="C15" s="48">
        <v>13</v>
      </c>
      <c r="D15" s="48"/>
      <c r="E15" s="13" t="s">
        <v>485</v>
      </c>
      <c r="F15" s="56" t="s">
        <v>501</v>
      </c>
      <c r="G15" s="13" t="s">
        <v>359</v>
      </c>
      <c r="H15" s="13"/>
      <c r="J15" s="51" t="str">
        <f t="shared" si="0"/>
        <v>S17144.TRVP</v>
      </c>
      <c r="K15" s="52" t="str">
        <f t="shared" si="1"/>
        <v>L Duva-COMPASS GOLDRDG-Gruyere - Site Networking Drinks</v>
      </c>
      <c r="L15" s="52" t="s">
        <v>32</v>
      </c>
      <c r="M15" s="53">
        <f t="shared" si="2"/>
        <v>13</v>
      </c>
      <c r="N15" s="54" t="s">
        <v>33</v>
      </c>
      <c r="O15" s="44"/>
      <c r="P15" s="54" t="s">
        <v>503</v>
      </c>
      <c r="R15" s="21">
        <f t="shared" si="3"/>
        <v>55</v>
      </c>
    </row>
    <row r="16" spans="1:18" ht="15.75" thickBot="1" x14ac:dyDescent="0.25">
      <c r="A16" s="47">
        <v>45854</v>
      </c>
      <c r="B16" s="47" t="s">
        <v>138</v>
      </c>
      <c r="C16" s="48">
        <v>18.7</v>
      </c>
      <c r="D16" s="48"/>
      <c r="E16" s="13" t="s">
        <v>485</v>
      </c>
      <c r="F16" s="56" t="s">
        <v>501</v>
      </c>
      <c r="G16" s="13" t="s">
        <v>359</v>
      </c>
      <c r="H16" s="13"/>
      <c r="J16" s="51" t="str">
        <f t="shared" si="0"/>
        <v>S17144.TRVP</v>
      </c>
      <c r="K16" s="52" t="str">
        <f t="shared" si="1"/>
        <v>L Duva-COMPASS GOLDRDG-Gruyere - Site Networking Drinks</v>
      </c>
      <c r="L16" s="52" t="s">
        <v>32</v>
      </c>
      <c r="M16" s="53">
        <f t="shared" si="2"/>
        <v>18.7</v>
      </c>
      <c r="N16" s="54" t="s">
        <v>33</v>
      </c>
      <c r="O16" s="44"/>
      <c r="P16" s="54" t="s">
        <v>503</v>
      </c>
      <c r="R16" s="21">
        <f t="shared" si="3"/>
        <v>55</v>
      </c>
    </row>
    <row r="17" spans="1:18" ht="15.75" thickBot="1" x14ac:dyDescent="0.25">
      <c r="A17" s="47">
        <v>45854</v>
      </c>
      <c r="B17" s="47" t="s">
        <v>138</v>
      </c>
      <c r="C17" s="48">
        <v>17.899999999999999</v>
      </c>
      <c r="D17" s="48"/>
      <c r="E17" s="13" t="s">
        <v>485</v>
      </c>
      <c r="F17" s="56" t="s">
        <v>501</v>
      </c>
      <c r="G17" s="13" t="s">
        <v>359</v>
      </c>
      <c r="H17" s="13"/>
      <c r="J17" s="51" t="str">
        <f t="shared" si="0"/>
        <v>S17144.TRVP</v>
      </c>
      <c r="K17" s="52" t="str">
        <f t="shared" si="1"/>
        <v>L Duva-COMPASS GOLDRDG-Gruyere - Site Networking Drinks</v>
      </c>
      <c r="L17" s="52" t="s">
        <v>32</v>
      </c>
      <c r="M17" s="53">
        <f t="shared" si="2"/>
        <v>17.899999999999999</v>
      </c>
      <c r="N17" s="54" t="s">
        <v>33</v>
      </c>
      <c r="O17" s="44"/>
      <c r="P17" s="54" t="s">
        <v>503</v>
      </c>
      <c r="R17" s="21">
        <f t="shared" si="3"/>
        <v>55</v>
      </c>
    </row>
    <row r="18" spans="1:18" ht="15.75" thickBot="1" x14ac:dyDescent="0.25">
      <c r="A18" s="47">
        <v>45854</v>
      </c>
      <c r="B18" s="47" t="s">
        <v>139</v>
      </c>
      <c r="C18" s="48">
        <v>76.44</v>
      </c>
      <c r="D18" s="48"/>
      <c r="E18" s="13" t="s">
        <v>483</v>
      </c>
      <c r="F18" s="56" t="s">
        <v>501</v>
      </c>
      <c r="G18" s="13" t="s">
        <v>359</v>
      </c>
      <c r="H18" s="13"/>
      <c r="J18" s="51" t="str">
        <f t="shared" si="0"/>
        <v>S17144.TRVP</v>
      </c>
      <c r="K18" s="52" t="str">
        <f t="shared" si="1"/>
        <v>L Duva-SWAN TAXIS PTY -Gruyere - Travel from airport</v>
      </c>
      <c r="L18" s="52" t="s">
        <v>32</v>
      </c>
      <c r="M18" s="53">
        <f t="shared" si="2"/>
        <v>76.44</v>
      </c>
      <c r="N18" s="54" t="s">
        <v>33</v>
      </c>
      <c r="O18" s="44"/>
      <c r="P18" s="54" t="s">
        <v>502</v>
      </c>
      <c r="R18" s="21">
        <f t="shared" si="3"/>
        <v>52</v>
      </c>
    </row>
    <row r="19" spans="1:18" x14ac:dyDescent="0.2">
      <c r="R19" s="21">
        <f t="shared" si="3"/>
        <v>0</v>
      </c>
    </row>
    <row r="20" spans="1:18" x14ac:dyDescent="0.2">
      <c r="R20" s="21">
        <f t="shared" si="3"/>
        <v>0</v>
      </c>
    </row>
    <row r="21" spans="1:18" x14ac:dyDescent="0.2">
      <c r="R21" s="21">
        <f t="shared" si="3"/>
        <v>0</v>
      </c>
    </row>
    <row r="22" spans="1:18" x14ac:dyDescent="0.2">
      <c r="R22" s="21">
        <f t="shared" si="3"/>
        <v>0</v>
      </c>
    </row>
    <row r="23" spans="1:18" x14ac:dyDescent="0.2">
      <c r="R23" s="21">
        <f t="shared" si="3"/>
        <v>0</v>
      </c>
    </row>
    <row r="24" spans="1:18" x14ac:dyDescent="0.2">
      <c r="R24" s="21">
        <f t="shared" si="3"/>
        <v>0</v>
      </c>
    </row>
    <row r="25" spans="1:18" x14ac:dyDescent="0.2">
      <c r="R25" s="21">
        <f t="shared" si="3"/>
        <v>0</v>
      </c>
    </row>
    <row r="26" spans="1:18" x14ac:dyDescent="0.2">
      <c r="R26" s="21">
        <f t="shared" si="3"/>
        <v>0</v>
      </c>
    </row>
    <row r="27" spans="1:18" x14ac:dyDescent="0.2">
      <c r="R27" s="21">
        <f t="shared" si="3"/>
        <v>0</v>
      </c>
    </row>
    <row r="28" spans="1:18" x14ac:dyDescent="0.2">
      <c r="R28" s="21">
        <f t="shared" si="3"/>
        <v>0</v>
      </c>
    </row>
    <row r="29" spans="1:18" x14ac:dyDescent="0.2">
      <c r="R29" s="21">
        <f t="shared" si="3"/>
        <v>0</v>
      </c>
    </row>
    <row r="30" spans="1:18" x14ac:dyDescent="0.2">
      <c r="R30" s="21">
        <f t="shared" si="3"/>
        <v>0</v>
      </c>
    </row>
    <row r="31" spans="1:18" x14ac:dyDescent="0.2">
      <c r="R31" s="21">
        <f t="shared" si="3"/>
        <v>0</v>
      </c>
    </row>
    <row r="32" spans="1:18" x14ac:dyDescent="0.2">
      <c r="R32" s="21">
        <f t="shared" si="3"/>
        <v>0</v>
      </c>
    </row>
    <row r="33" spans="18:18" x14ac:dyDescent="0.2">
      <c r="R33" s="21">
        <f t="shared" si="3"/>
        <v>0</v>
      </c>
    </row>
    <row r="34" spans="18:18" x14ac:dyDescent="0.2">
      <c r="R34" s="21">
        <f t="shared" si="3"/>
        <v>0</v>
      </c>
    </row>
    <row r="35" spans="18:18" x14ac:dyDescent="0.2">
      <c r="R35" s="21">
        <f t="shared" si="3"/>
        <v>0</v>
      </c>
    </row>
  </sheetData>
  <mergeCells count="5">
    <mergeCell ref="J1:P1"/>
    <mergeCell ref="A4:H4"/>
    <mergeCell ref="J5:Q5"/>
    <mergeCell ref="E6:H7"/>
    <mergeCell ref="A1:H3"/>
  </mergeCells>
  <conditionalFormatting sqref="B16:B48">
    <cfRule type="cellIs" dxfId="18" priority="1" operator="lessThan">
      <formula>0</formula>
    </cfRule>
  </conditionalFormatting>
  <dataValidations count="1">
    <dataValidation type="list" allowBlank="1" showInputMessage="1" showErrorMessage="1" sqref="C16:C48" xr:uid="{A2357D1F-17DE-46A6-B3A8-7B3D8F2428A4}">
      <formula1>"GST 10%, GST FREE"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 tint="0.79998168889431442"/>
  </sheetPr>
  <dimension ref="A1:R37"/>
  <sheetViews>
    <sheetView topLeftCell="D3" workbookViewId="0">
      <selection activeCell="J24" sqref="J24:P35"/>
    </sheetView>
  </sheetViews>
  <sheetFormatPr defaultRowHeight="12.75" x14ac:dyDescent="0.2"/>
  <cols>
    <col min="1" max="1" width="17.42578125" style="3" customWidth="1"/>
    <col min="2" max="2" width="47.42578125" customWidth="1"/>
    <col min="3" max="3" width="13.5703125" customWidth="1"/>
    <col min="4" max="4" width="16.42578125" customWidth="1"/>
    <col min="5" max="5" width="59.7109375" bestFit="1" customWidth="1"/>
    <col min="6" max="6" width="14.140625" bestFit="1" customWidth="1"/>
    <col min="7" max="7" width="13.42578125" bestFit="1" customWidth="1"/>
    <col min="8" max="8" width="15.5703125" customWidth="1"/>
    <col min="9" max="9" width="2.42578125" customWidth="1"/>
    <col min="10" max="10" width="21.85546875" bestFit="1" customWidth="1"/>
    <col min="11" max="11" width="49.7109375" customWidth="1"/>
    <col min="12" max="12" width="4" bestFit="1" customWidth="1"/>
    <col min="15" max="15" width="21.42578125" customWidth="1"/>
    <col min="16" max="16" width="15.85546875" customWidth="1"/>
  </cols>
  <sheetData>
    <row r="1" spans="1:18" ht="12" customHeight="1" x14ac:dyDescent="0.2">
      <c r="A1" s="118" t="s">
        <v>12</v>
      </c>
      <c r="B1" s="119"/>
      <c r="C1" s="119"/>
      <c r="D1" s="119"/>
      <c r="E1" s="119"/>
      <c r="F1" s="119"/>
      <c r="G1" s="119"/>
      <c r="H1" s="119"/>
      <c r="J1" s="113" t="s">
        <v>13</v>
      </c>
      <c r="K1" s="113"/>
      <c r="L1" s="113"/>
      <c r="M1" s="113"/>
      <c r="N1" s="113"/>
      <c r="O1" s="113"/>
      <c r="P1" s="113"/>
    </row>
    <row r="2" spans="1:18" ht="12" customHeight="1" x14ac:dyDescent="0.2">
      <c r="A2" s="118"/>
      <c r="B2" s="119"/>
      <c r="C2" s="119"/>
      <c r="D2" s="119"/>
      <c r="E2" s="119"/>
      <c r="F2" s="119"/>
      <c r="G2" s="119"/>
      <c r="H2" s="119"/>
      <c r="J2" s="74" t="s">
        <v>508</v>
      </c>
      <c r="K2" s="88">
        <v>3357.86</v>
      </c>
      <c r="L2" s="74"/>
      <c r="M2" s="74"/>
      <c r="N2" s="74"/>
      <c r="O2" s="74"/>
      <c r="P2" s="74"/>
    </row>
    <row r="3" spans="1:18" ht="12" customHeight="1" x14ac:dyDescent="0.2">
      <c r="A3" s="118"/>
      <c r="B3" s="119"/>
      <c r="C3" s="119"/>
      <c r="D3" s="119"/>
      <c r="E3" s="119"/>
      <c r="F3" s="119"/>
      <c r="G3" s="119"/>
      <c r="H3" s="119"/>
      <c r="J3" t="s">
        <v>509</v>
      </c>
      <c r="K3" s="21">
        <f>SUM(M9:M146)</f>
        <v>3357.8599999999992</v>
      </c>
      <c r="L3" s="74"/>
      <c r="M3" s="74"/>
      <c r="N3" s="74"/>
      <c r="O3" s="74"/>
      <c r="P3" s="74"/>
    </row>
    <row r="4" spans="1:18" ht="12" customHeight="1" x14ac:dyDescent="0.2">
      <c r="A4" s="114" t="s">
        <v>140</v>
      </c>
      <c r="B4" s="113"/>
      <c r="C4" s="113"/>
      <c r="D4" s="113"/>
      <c r="E4" s="113"/>
      <c r="F4" s="113"/>
      <c r="G4" s="113"/>
      <c r="H4" s="113"/>
      <c r="J4" t="s">
        <v>510</v>
      </c>
      <c r="K4" s="21">
        <f>K2-K3</f>
        <v>0</v>
      </c>
    </row>
    <row r="5" spans="1:18" ht="12" customHeight="1" x14ac:dyDescent="0.2">
      <c r="A5" s="9" t="s">
        <v>3</v>
      </c>
      <c r="B5" s="10" t="str">
        <f>CONCATENATE(Header!$E$4,"Edmondston")</f>
        <v>MC-250816Edmondston</v>
      </c>
      <c r="C5" s="8"/>
      <c r="D5" s="8"/>
      <c r="E5" s="8"/>
      <c r="J5" s="115" t="s">
        <v>15</v>
      </c>
      <c r="K5" s="115"/>
      <c r="L5" s="115"/>
      <c r="M5" s="115"/>
      <c r="N5" s="115"/>
      <c r="O5" s="115"/>
      <c r="P5" s="115"/>
      <c r="Q5" s="115"/>
    </row>
    <row r="6" spans="1:18" ht="12" customHeight="1" x14ac:dyDescent="0.2">
      <c r="A6" s="9" t="s">
        <v>5</v>
      </c>
      <c r="B6" s="12">
        <f>Header!$E$5</f>
        <v>45885</v>
      </c>
      <c r="C6" s="8"/>
      <c r="D6" s="8"/>
      <c r="E6" s="116" t="s">
        <v>16</v>
      </c>
      <c r="F6" s="116"/>
      <c r="G6" s="116"/>
      <c r="H6" s="116"/>
    </row>
    <row r="7" spans="1:18" ht="12" customHeight="1" thickBot="1" x14ac:dyDescent="0.25">
      <c r="A7" s="11"/>
      <c r="B7" s="8"/>
      <c r="C7" s="8"/>
      <c r="D7" s="8"/>
      <c r="E7" s="117"/>
      <c r="F7" s="117"/>
      <c r="G7" s="117"/>
      <c r="H7" s="117"/>
    </row>
    <row r="8" spans="1:18" ht="45.75" thickBot="1" x14ac:dyDescent="0.25">
      <c r="A8" s="32" t="s">
        <v>17</v>
      </c>
      <c r="B8" s="33" t="s">
        <v>18</v>
      </c>
      <c r="C8" s="33" t="s">
        <v>19</v>
      </c>
      <c r="D8" s="33" t="s">
        <v>20</v>
      </c>
      <c r="E8" s="19" t="s">
        <v>36</v>
      </c>
      <c r="F8" s="16" t="s">
        <v>22</v>
      </c>
      <c r="G8" s="17" t="s">
        <v>23</v>
      </c>
      <c r="H8" s="18" t="s">
        <v>24</v>
      </c>
      <c r="J8" s="32" t="s">
        <v>25</v>
      </c>
      <c r="K8" s="33" t="s">
        <v>3</v>
      </c>
      <c r="L8" s="33" t="s">
        <v>26</v>
      </c>
      <c r="M8" s="33" t="s">
        <v>27</v>
      </c>
      <c r="N8" s="34" t="s">
        <v>28</v>
      </c>
      <c r="O8" s="34" t="s">
        <v>29</v>
      </c>
      <c r="P8" s="34" t="s">
        <v>30</v>
      </c>
      <c r="R8" s="90" t="s">
        <v>511</v>
      </c>
    </row>
    <row r="9" spans="1:18" ht="15.75" thickBot="1" x14ac:dyDescent="0.25">
      <c r="A9" s="45">
        <v>45883</v>
      </c>
      <c r="B9" s="45" t="s">
        <v>141</v>
      </c>
      <c r="C9" s="46">
        <v>28.5</v>
      </c>
      <c r="D9" s="46"/>
      <c r="E9" s="14" t="s">
        <v>551</v>
      </c>
      <c r="F9" s="49" t="s">
        <v>382</v>
      </c>
      <c r="G9" s="13" t="s">
        <v>367</v>
      </c>
      <c r="H9" s="15"/>
      <c r="J9" s="51" t="str">
        <f t="shared" ref="J9" si="0">IF(F9&gt;0,(_xlfn.CONCAT(F9,".",G9)),H9)</f>
        <v>G068.SALP</v>
      </c>
      <c r="K9" s="52" t="str">
        <f>_xlfn.CONCAT("A Edmondston-",(LEFT(B9,15)),"-",E9)</f>
        <v>A Edmondston-Bakers Delight -Catering Sales Conference</v>
      </c>
      <c r="L9" s="52" t="s">
        <v>32</v>
      </c>
      <c r="M9" s="53">
        <f>IF(C9&gt;0,C9,-D9)</f>
        <v>28.5</v>
      </c>
      <c r="N9" s="54" t="s">
        <v>33</v>
      </c>
      <c r="O9" s="44"/>
      <c r="P9" s="55"/>
      <c r="Q9" t="s">
        <v>34</v>
      </c>
      <c r="R9" s="21">
        <f>LEN(K9)</f>
        <v>54</v>
      </c>
    </row>
    <row r="10" spans="1:18" ht="15.75" thickBot="1" x14ac:dyDescent="0.25">
      <c r="A10" s="47">
        <v>45883</v>
      </c>
      <c r="B10" s="47" t="s">
        <v>142</v>
      </c>
      <c r="C10" s="48">
        <v>75.62</v>
      </c>
      <c r="D10" s="48"/>
      <c r="E10" s="14" t="s">
        <v>551</v>
      </c>
      <c r="F10" s="49" t="s">
        <v>382</v>
      </c>
      <c r="G10" s="13" t="s">
        <v>367</v>
      </c>
      <c r="H10" s="50"/>
      <c r="J10" s="51" t="str">
        <f t="shared" ref="J10:J35" si="1">IF(F10&gt;0,(_xlfn.CONCAT(F10,".",G10)),H10)</f>
        <v>G068.SALP</v>
      </c>
      <c r="K10" s="52" t="str">
        <f t="shared" ref="K10:K17" si="2">_xlfn.CONCAT("A Edmondston-",(LEFT(B10,15)),"-",E10)</f>
        <v>A Edmondston-GOLDEN NUGGET B-Catering Sales Conference</v>
      </c>
      <c r="L10" s="52" t="s">
        <v>32</v>
      </c>
      <c r="M10" s="53">
        <f t="shared" ref="M10:M35" si="3">IF(C10&gt;0,C10,-D10)</f>
        <v>75.62</v>
      </c>
      <c r="N10" s="54" t="s">
        <v>33</v>
      </c>
      <c r="O10" s="44"/>
      <c r="P10" s="54"/>
      <c r="R10" s="21">
        <f t="shared" ref="R10:R37" si="4">LEN(K10)</f>
        <v>54</v>
      </c>
    </row>
    <row r="11" spans="1:18" ht="15.75" thickBot="1" x14ac:dyDescent="0.25">
      <c r="A11" s="47">
        <v>45882</v>
      </c>
      <c r="B11" s="47" t="s">
        <v>141</v>
      </c>
      <c r="C11" s="48">
        <v>27</v>
      </c>
      <c r="D11" s="48"/>
      <c r="E11" s="14" t="s">
        <v>551</v>
      </c>
      <c r="F11" s="49" t="s">
        <v>382</v>
      </c>
      <c r="G11" s="13" t="s">
        <v>367</v>
      </c>
      <c r="H11" s="13"/>
      <c r="J11" s="51" t="str">
        <f t="shared" si="1"/>
        <v>G068.SALP</v>
      </c>
      <c r="K11" s="52" t="str">
        <f t="shared" si="2"/>
        <v>A Edmondston-Bakers Delight -Catering Sales Conference</v>
      </c>
      <c r="L11" s="52" t="s">
        <v>32</v>
      </c>
      <c r="M11" s="53">
        <f t="shared" si="3"/>
        <v>27</v>
      </c>
      <c r="N11" s="54" t="s">
        <v>33</v>
      </c>
      <c r="O11" s="44"/>
      <c r="P11" s="54"/>
      <c r="R11" s="21">
        <f t="shared" si="4"/>
        <v>54</v>
      </c>
    </row>
    <row r="12" spans="1:18" ht="15.75" thickBot="1" x14ac:dyDescent="0.25">
      <c r="A12" s="47">
        <v>45881</v>
      </c>
      <c r="B12" s="47" t="s">
        <v>143</v>
      </c>
      <c r="C12" s="48">
        <v>16.39</v>
      </c>
      <c r="D12" s="48"/>
      <c r="E12" s="14" t="s">
        <v>551</v>
      </c>
      <c r="F12" s="49" t="s">
        <v>382</v>
      </c>
      <c r="G12" s="13" t="s">
        <v>367</v>
      </c>
      <c r="H12" s="50"/>
      <c r="J12" s="51" t="str">
        <f t="shared" si="1"/>
        <v>G068.SALP</v>
      </c>
      <c r="K12" s="52" t="str">
        <f t="shared" si="2"/>
        <v>A Edmondston-RYANS IGA MIDVA-Catering Sales Conference</v>
      </c>
      <c r="L12" s="52" t="s">
        <v>32</v>
      </c>
      <c r="M12" s="53">
        <f t="shared" si="3"/>
        <v>16.39</v>
      </c>
      <c r="N12" s="54" t="s">
        <v>33</v>
      </c>
      <c r="O12" s="44"/>
      <c r="P12" s="54"/>
      <c r="R12" s="21">
        <f t="shared" si="4"/>
        <v>54</v>
      </c>
    </row>
    <row r="13" spans="1:18" ht="15.75" thickBot="1" x14ac:dyDescent="0.25">
      <c r="A13" s="47">
        <v>45880</v>
      </c>
      <c r="B13" s="47" t="s">
        <v>143</v>
      </c>
      <c r="C13" s="48">
        <v>48.23</v>
      </c>
      <c r="D13" s="48"/>
      <c r="E13" s="14" t="s">
        <v>551</v>
      </c>
      <c r="F13" s="49" t="s">
        <v>382</v>
      </c>
      <c r="G13" s="13" t="s">
        <v>367</v>
      </c>
      <c r="H13" s="13"/>
      <c r="J13" s="51" t="str">
        <f t="shared" si="1"/>
        <v>G068.SALP</v>
      </c>
      <c r="K13" s="52" t="str">
        <f t="shared" si="2"/>
        <v>A Edmondston-RYANS IGA MIDVA-Catering Sales Conference</v>
      </c>
      <c r="L13" s="52" t="s">
        <v>32</v>
      </c>
      <c r="M13" s="53">
        <f t="shared" si="3"/>
        <v>48.23</v>
      </c>
      <c r="N13" s="54" t="s">
        <v>33</v>
      </c>
      <c r="O13" s="44"/>
      <c r="P13" s="54"/>
      <c r="R13" s="21">
        <f t="shared" si="4"/>
        <v>54</v>
      </c>
    </row>
    <row r="14" spans="1:18" ht="15.75" thickBot="1" x14ac:dyDescent="0.25">
      <c r="A14" s="47">
        <v>45880</v>
      </c>
      <c r="B14" s="47" t="s">
        <v>144</v>
      </c>
      <c r="C14" s="48">
        <v>128</v>
      </c>
      <c r="D14" s="48"/>
      <c r="E14" s="14" t="s">
        <v>551</v>
      </c>
      <c r="F14" s="49" t="s">
        <v>382</v>
      </c>
      <c r="G14" s="13" t="s">
        <v>367</v>
      </c>
      <c r="H14" s="13"/>
      <c r="J14" s="51" t="str">
        <f t="shared" si="1"/>
        <v>G068.SALP</v>
      </c>
      <c r="K14" s="52" t="str">
        <f t="shared" si="2"/>
        <v>A Edmondston-Subway Wendoure-Catering Sales Conference</v>
      </c>
      <c r="L14" s="52" t="s">
        <v>32</v>
      </c>
      <c r="M14" s="53">
        <f t="shared" si="3"/>
        <v>128</v>
      </c>
      <c r="N14" s="54" t="s">
        <v>33</v>
      </c>
      <c r="O14" s="44"/>
      <c r="P14" s="54"/>
      <c r="R14" s="21">
        <f t="shared" si="4"/>
        <v>54</v>
      </c>
    </row>
    <row r="15" spans="1:18" ht="15.75" thickBot="1" x14ac:dyDescent="0.25">
      <c r="A15" s="47">
        <v>45880</v>
      </c>
      <c r="B15" s="47" t="s">
        <v>571</v>
      </c>
      <c r="C15" s="48">
        <f>527.9*0.2</f>
        <v>105.58</v>
      </c>
      <c r="D15" s="48"/>
      <c r="E15" s="13" t="s">
        <v>569</v>
      </c>
      <c r="F15" s="49" t="s">
        <v>382</v>
      </c>
      <c r="G15" s="13" t="s">
        <v>367</v>
      </c>
      <c r="H15" s="13"/>
      <c r="J15" s="51" t="str">
        <f t="shared" si="1"/>
        <v>G068.SALP</v>
      </c>
      <c r="K15" s="52" t="str">
        <f t="shared" si="2"/>
        <v>A Edmondston-CITYOVA-MealAE,TB,NG,WL,SG,ELG,BW,NZ,SM, AL</v>
      </c>
      <c r="L15" s="52" t="s">
        <v>32</v>
      </c>
      <c r="M15" s="53">
        <f t="shared" si="3"/>
        <v>105.58</v>
      </c>
      <c r="N15" s="54" t="s">
        <v>33</v>
      </c>
      <c r="O15" s="44"/>
      <c r="P15" s="54"/>
      <c r="R15" s="21">
        <f t="shared" si="4"/>
        <v>56</v>
      </c>
    </row>
    <row r="16" spans="1:18" ht="15.75" thickBot="1" x14ac:dyDescent="0.25">
      <c r="A16" s="47">
        <v>45880</v>
      </c>
      <c r="B16" s="47" t="s">
        <v>570</v>
      </c>
      <c r="C16" s="48">
        <f>527.9*0.8</f>
        <v>422.32</v>
      </c>
      <c r="D16" s="48"/>
      <c r="E16" s="13" t="s">
        <v>569</v>
      </c>
      <c r="F16" s="49">
        <v>1084</v>
      </c>
      <c r="G16" s="13" t="s">
        <v>438</v>
      </c>
      <c r="H16" s="13"/>
      <c r="J16" s="51" t="str">
        <f t="shared" si="1"/>
        <v>1084.ENFE</v>
      </c>
      <c r="K16" s="52" t="str">
        <f t="shared" si="2"/>
        <v>A Edmondston-CITYOva-MealAE,TB,NG,WL,SG,ELG,BW,NZ,SM, AL</v>
      </c>
      <c r="L16" s="52"/>
      <c r="M16" s="53">
        <f t="shared" si="3"/>
        <v>422.32</v>
      </c>
      <c r="N16" s="54" t="s">
        <v>33</v>
      </c>
      <c r="O16" s="44"/>
      <c r="P16" s="54"/>
      <c r="R16" s="21">
        <f t="shared" si="4"/>
        <v>56</v>
      </c>
    </row>
    <row r="17" spans="1:18" ht="15.75" thickBot="1" x14ac:dyDescent="0.25">
      <c r="A17" s="47">
        <v>45877</v>
      </c>
      <c r="B17" s="47" t="s">
        <v>145</v>
      </c>
      <c r="C17" s="48">
        <v>19.649999999999999</v>
      </c>
      <c r="D17" s="48"/>
      <c r="E17" s="13" t="s">
        <v>552</v>
      </c>
      <c r="F17" s="49">
        <v>1084</v>
      </c>
      <c r="G17" s="13" t="s">
        <v>323</v>
      </c>
      <c r="H17" s="13"/>
      <c r="J17" s="51" t="str">
        <f t="shared" si="1"/>
        <v>1084.POST</v>
      </c>
      <c r="K17" s="52" t="str">
        <f t="shared" si="2"/>
        <v>A Edmondston-POST WENDOUREE -Post bank guarantees</v>
      </c>
      <c r="L17" s="52" t="s">
        <v>32</v>
      </c>
      <c r="M17" s="53">
        <f t="shared" si="3"/>
        <v>19.649999999999999</v>
      </c>
      <c r="N17" s="54" t="s">
        <v>33</v>
      </c>
      <c r="O17" s="44"/>
      <c r="P17" s="54"/>
      <c r="R17" s="21">
        <f t="shared" si="4"/>
        <v>49</v>
      </c>
    </row>
    <row r="18" spans="1:18" ht="15.75" thickBot="1" x14ac:dyDescent="0.25">
      <c r="A18" s="47">
        <v>45876</v>
      </c>
      <c r="B18" s="47" t="s">
        <v>146</v>
      </c>
      <c r="C18" s="48">
        <v>30</v>
      </c>
      <c r="D18" s="48"/>
      <c r="E18" s="13" t="s">
        <v>553</v>
      </c>
      <c r="F18" s="49">
        <v>1084</v>
      </c>
      <c r="G18" s="13" t="s">
        <v>232</v>
      </c>
      <c r="H18" s="13"/>
      <c r="J18" s="51" t="str">
        <f t="shared" si="1"/>
        <v>1084.TRAV</v>
      </c>
      <c r="K18" s="52" t="str">
        <f>_xlfn.CONCAT("A Edmondston-",(LEFT(B18,10)),"-",E18)</f>
        <v>A Edmondston-MYKI BALLA-Train - Melbourne Mining Club</v>
      </c>
      <c r="L18" s="52" t="s">
        <v>32</v>
      </c>
      <c r="M18" s="53">
        <f t="shared" si="3"/>
        <v>30</v>
      </c>
      <c r="N18" s="54" t="s">
        <v>33</v>
      </c>
      <c r="O18" s="44"/>
      <c r="P18" s="54"/>
      <c r="R18" s="21">
        <f t="shared" si="4"/>
        <v>53</v>
      </c>
    </row>
    <row r="19" spans="1:18" s="104" customFormat="1" ht="15.75" thickBot="1" x14ac:dyDescent="0.25">
      <c r="A19" s="101">
        <v>45876</v>
      </c>
      <c r="B19" s="101" t="s">
        <v>147</v>
      </c>
      <c r="C19" s="84">
        <f>128.52*0.3</f>
        <v>38.556000000000004</v>
      </c>
      <c r="D19" s="84"/>
      <c r="E19" s="102" t="s">
        <v>560</v>
      </c>
      <c r="F19" s="103">
        <v>1084</v>
      </c>
      <c r="G19" s="102" t="s">
        <v>438</v>
      </c>
      <c r="H19" s="102"/>
      <c r="J19" s="105" t="str">
        <f t="shared" ref="J19" si="5">IF(F19&gt;0,(_xlfn.CONCAT(F19,".",G19)),H19)</f>
        <v>1084.ENFE</v>
      </c>
      <c r="K19" s="52" t="str">
        <f t="shared" ref="K19:K35" si="6">_xlfn.CONCAT("A Edmondston-",(LEFT(B19,10)),"-",E19)</f>
        <v>A Edmondston-SQ *SHOWTI-Wine for table - Melbourne Mining Club AE, MX, SM</v>
      </c>
      <c r="L19" s="106" t="s">
        <v>32</v>
      </c>
      <c r="M19" s="107">
        <f t="shared" ref="M19" si="7">IF(C19&gt;0,C19,-D19)</f>
        <v>38.556000000000004</v>
      </c>
      <c r="N19" s="108" t="s">
        <v>33</v>
      </c>
      <c r="O19" s="109"/>
      <c r="P19" s="108"/>
      <c r="R19" s="110">
        <f t="shared" ref="R19" si="8">LEN(K19)</f>
        <v>73</v>
      </c>
    </row>
    <row r="20" spans="1:18" s="104" customFormat="1" ht="15.75" thickBot="1" x14ac:dyDescent="0.25">
      <c r="A20" s="101">
        <v>45876</v>
      </c>
      <c r="B20" s="101" t="s">
        <v>147</v>
      </c>
      <c r="C20" s="84">
        <f>128.52*0.7</f>
        <v>89.963999999999999</v>
      </c>
      <c r="D20" s="84"/>
      <c r="E20" s="102" t="s">
        <v>561</v>
      </c>
      <c r="F20" s="103">
        <v>1084</v>
      </c>
      <c r="G20" s="102" t="s">
        <v>494</v>
      </c>
      <c r="H20" s="102"/>
      <c r="J20" s="105" t="str">
        <f t="shared" si="1"/>
        <v>1084.ENFN</v>
      </c>
      <c r="K20" s="52" t="str">
        <f t="shared" si="6"/>
        <v>A Edmondston-SQ *SHOWTI-Wine for table - Melbourne Mining Club 7 - Non employees</v>
      </c>
      <c r="L20" s="106" t="s">
        <v>32</v>
      </c>
      <c r="M20" s="107">
        <f t="shared" si="3"/>
        <v>89.963999999999999</v>
      </c>
      <c r="N20" s="108" t="s">
        <v>33</v>
      </c>
      <c r="O20" s="109"/>
      <c r="P20" s="108"/>
      <c r="R20" s="110">
        <f t="shared" si="4"/>
        <v>80</v>
      </c>
    </row>
    <row r="21" spans="1:18" ht="15.75" thickBot="1" x14ac:dyDescent="0.25">
      <c r="A21" s="47">
        <v>45874</v>
      </c>
      <c r="B21" s="47" t="s">
        <v>148</v>
      </c>
      <c r="C21" s="48">
        <v>899</v>
      </c>
      <c r="D21" s="48"/>
      <c r="E21" s="13" t="s">
        <v>554</v>
      </c>
      <c r="F21" s="49">
        <v>1084</v>
      </c>
      <c r="G21" s="13" t="s">
        <v>506</v>
      </c>
      <c r="H21" s="13"/>
      <c r="J21" s="51" t="str">
        <f t="shared" si="1"/>
        <v>1084.MEMB</v>
      </c>
      <c r="K21" s="52" t="str">
        <f t="shared" si="6"/>
        <v>A Edmondston-CA ANZ SYD-Chartered Accountants Aust &amp; NZ Annual Membership</v>
      </c>
      <c r="L21" s="52" t="s">
        <v>32</v>
      </c>
      <c r="M21" s="53">
        <f t="shared" si="3"/>
        <v>899</v>
      </c>
      <c r="N21" s="54" t="s">
        <v>33</v>
      </c>
      <c r="O21" s="44"/>
      <c r="P21" s="54"/>
      <c r="R21" s="21">
        <f t="shared" si="4"/>
        <v>73</v>
      </c>
    </row>
    <row r="22" spans="1:18" ht="15.75" thickBot="1" x14ac:dyDescent="0.25">
      <c r="A22" s="47">
        <v>45870</v>
      </c>
      <c r="B22" s="47" t="s">
        <v>142</v>
      </c>
      <c r="C22" s="48">
        <v>41.05</v>
      </c>
      <c r="D22" s="48"/>
      <c r="E22" s="13" t="s">
        <v>555</v>
      </c>
      <c r="F22" s="49">
        <v>1084</v>
      </c>
      <c r="G22" s="13" t="s">
        <v>116</v>
      </c>
      <c r="H22" s="13"/>
      <c r="J22" s="51" t="str">
        <f t="shared" si="1"/>
        <v>1084.ENON</v>
      </c>
      <c r="K22" s="52" t="str">
        <f t="shared" si="6"/>
        <v>A Edmondston-GOLDEN NUG-Food for Pronto Team</v>
      </c>
      <c r="L22" s="52" t="s">
        <v>32</v>
      </c>
      <c r="M22" s="53">
        <f t="shared" si="3"/>
        <v>41.05</v>
      </c>
      <c r="N22" s="54" t="s">
        <v>33</v>
      </c>
      <c r="O22" s="44"/>
      <c r="P22" s="54"/>
      <c r="R22" s="21">
        <f t="shared" si="4"/>
        <v>44</v>
      </c>
    </row>
    <row r="23" spans="1:18" ht="15.75" thickBot="1" x14ac:dyDescent="0.25">
      <c r="A23" s="47">
        <v>45869</v>
      </c>
      <c r="B23" s="47" t="s">
        <v>149</v>
      </c>
      <c r="C23" s="48">
        <v>370</v>
      </c>
      <c r="D23" s="48"/>
      <c r="E23" s="13" t="s">
        <v>556</v>
      </c>
      <c r="F23" s="49">
        <v>1084</v>
      </c>
      <c r="G23" s="13" t="s">
        <v>126</v>
      </c>
      <c r="H23" s="13"/>
      <c r="J23" s="51" t="str">
        <f t="shared" si="1"/>
        <v>1084.STAF</v>
      </c>
      <c r="K23" s="52" t="str">
        <f t="shared" si="6"/>
        <v>A Edmondston-2 BLOKES  -Coffee Beans</v>
      </c>
      <c r="L23" s="52" t="s">
        <v>32</v>
      </c>
      <c r="M23" s="53">
        <f t="shared" si="3"/>
        <v>370</v>
      </c>
      <c r="N23" s="54" t="s">
        <v>150</v>
      </c>
      <c r="O23" s="44"/>
      <c r="P23" s="54"/>
      <c r="R23" s="21">
        <f t="shared" si="4"/>
        <v>36</v>
      </c>
    </row>
    <row r="24" spans="1:18" ht="15.75" thickBot="1" x14ac:dyDescent="0.25">
      <c r="A24" s="47">
        <v>45865</v>
      </c>
      <c r="B24" s="47" t="s">
        <v>151</v>
      </c>
      <c r="C24" s="48">
        <v>15.11</v>
      </c>
      <c r="D24" s="48"/>
      <c r="E24" s="13" t="s">
        <v>557</v>
      </c>
      <c r="F24" s="49">
        <v>1084</v>
      </c>
      <c r="G24" s="13" t="s">
        <v>232</v>
      </c>
      <c r="H24" s="13"/>
      <c r="J24" s="51" t="str">
        <f t="shared" si="1"/>
        <v>1084.TRAV</v>
      </c>
      <c r="K24" s="52" t="str">
        <f t="shared" si="6"/>
        <v>A Edmondston-ZLR*Liv Ea-Food while in Burnie - Elphinstone Group Function</v>
      </c>
      <c r="L24" s="52" t="s">
        <v>32</v>
      </c>
      <c r="M24" s="53">
        <f t="shared" si="3"/>
        <v>15.11</v>
      </c>
      <c r="N24" s="54" t="s">
        <v>33</v>
      </c>
      <c r="O24" s="44"/>
      <c r="P24" s="54"/>
      <c r="R24" s="21">
        <f t="shared" si="4"/>
        <v>73</v>
      </c>
    </row>
    <row r="25" spans="1:18" ht="15.75" thickBot="1" x14ac:dyDescent="0.25">
      <c r="A25" s="47">
        <v>45864</v>
      </c>
      <c r="B25" s="47" t="s">
        <v>152</v>
      </c>
      <c r="C25" s="48">
        <v>9.1</v>
      </c>
      <c r="D25" s="48"/>
      <c r="E25" s="13" t="s">
        <v>557</v>
      </c>
      <c r="F25" s="49">
        <v>1084</v>
      </c>
      <c r="G25" s="13" t="s">
        <v>232</v>
      </c>
      <c r="H25" s="13"/>
      <c r="J25" s="51" t="str">
        <f t="shared" si="1"/>
        <v>1084.TRAV</v>
      </c>
      <c r="K25" s="52" t="str">
        <f t="shared" si="6"/>
        <v>A Edmondston-THE FORESH-Food while in Burnie - Elphinstone Group Function</v>
      </c>
      <c r="L25" s="52" t="s">
        <v>32</v>
      </c>
      <c r="M25" s="53">
        <f t="shared" si="3"/>
        <v>9.1</v>
      </c>
      <c r="N25" s="54" t="s">
        <v>33</v>
      </c>
      <c r="O25" s="44"/>
      <c r="P25" s="54"/>
      <c r="R25" s="21">
        <f t="shared" si="4"/>
        <v>73</v>
      </c>
    </row>
    <row r="26" spans="1:18" ht="15.75" thickBot="1" x14ac:dyDescent="0.25">
      <c r="A26" s="47">
        <v>45864</v>
      </c>
      <c r="B26" s="47" t="s">
        <v>153</v>
      </c>
      <c r="C26" s="48">
        <v>28</v>
      </c>
      <c r="D26" s="48"/>
      <c r="E26" s="13" t="s">
        <v>557</v>
      </c>
      <c r="F26" s="49">
        <v>1084</v>
      </c>
      <c r="G26" s="13" t="s">
        <v>232</v>
      </c>
      <c r="H26" s="13"/>
      <c r="J26" s="51" t="str">
        <f t="shared" si="1"/>
        <v>1084.TRAV</v>
      </c>
      <c r="K26" s="52" t="str">
        <f t="shared" si="6"/>
        <v>A Edmondston-BELINDA SH-Food while in Burnie - Elphinstone Group Function</v>
      </c>
      <c r="L26" s="52" t="s">
        <v>32</v>
      </c>
      <c r="M26" s="53">
        <f t="shared" si="3"/>
        <v>28</v>
      </c>
      <c r="N26" s="54" t="s">
        <v>33</v>
      </c>
      <c r="O26" s="44"/>
      <c r="P26" s="54"/>
      <c r="R26" s="21">
        <f t="shared" si="4"/>
        <v>73</v>
      </c>
    </row>
    <row r="27" spans="1:18" ht="15.75" thickBot="1" x14ac:dyDescent="0.25">
      <c r="A27" s="47">
        <v>45864</v>
      </c>
      <c r="B27" s="47" t="s">
        <v>154</v>
      </c>
      <c r="C27" s="48">
        <v>604.76</v>
      </c>
      <c r="D27" s="48"/>
      <c r="E27" s="13" t="s">
        <v>572</v>
      </c>
      <c r="F27" s="49">
        <v>1084</v>
      </c>
      <c r="G27" s="13" t="s">
        <v>232</v>
      </c>
      <c r="H27" s="13"/>
      <c r="J27" s="51" t="str">
        <f t="shared" si="1"/>
        <v>1084.TRAV</v>
      </c>
      <c r="K27" s="52" t="str">
        <f t="shared" si="6"/>
        <v>A Edmondston-One North -Accom Burnie - Elphinstone Group Function</v>
      </c>
      <c r="L27" s="52" t="s">
        <v>32</v>
      </c>
      <c r="M27" s="53">
        <f t="shared" si="3"/>
        <v>604.76</v>
      </c>
      <c r="N27" s="54" t="s">
        <v>33</v>
      </c>
      <c r="O27" s="44"/>
      <c r="P27" s="54"/>
      <c r="R27" s="21">
        <f t="shared" si="4"/>
        <v>65</v>
      </c>
    </row>
    <row r="28" spans="1:18" ht="15.75" thickBot="1" x14ac:dyDescent="0.25">
      <c r="A28" s="47">
        <v>45864</v>
      </c>
      <c r="B28" s="47" t="s">
        <v>155</v>
      </c>
      <c r="C28" s="48">
        <v>11.1</v>
      </c>
      <c r="D28" s="48"/>
      <c r="E28" s="13" t="s">
        <v>573</v>
      </c>
      <c r="F28" s="49">
        <v>1084</v>
      </c>
      <c r="G28" s="13" t="s">
        <v>232</v>
      </c>
      <c r="H28" s="13"/>
      <c r="J28" s="51" t="str">
        <f t="shared" si="1"/>
        <v>1084.TRAV</v>
      </c>
      <c r="K28" s="52" t="str">
        <f t="shared" si="6"/>
        <v>A Edmondston-Penguin Co-Meals Burnie - Elphinstone Group Function</v>
      </c>
      <c r="L28" s="52" t="s">
        <v>32</v>
      </c>
      <c r="M28" s="53">
        <f t="shared" si="3"/>
        <v>11.1</v>
      </c>
      <c r="N28" s="54" t="s">
        <v>33</v>
      </c>
      <c r="O28" s="44"/>
      <c r="P28" s="54"/>
      <c r="R28" s="21">
        <f t="shared" si="4"/>
        <v>65</v>
      </c>
    </row>
    <row r="29" spans="1:18" s="94" customFormat="1" ht="15.75" thickBot="1" x14ac:dyDescent="0.25">
      <c r="A29" s="91">
        <v>45863</v>
      </c>
      <c r="B29" s="91" t="s">
        <v>156</v>
      </c>
      <c r="C29" s="83">
        <v>135.5</v>
      </c>
      <c r="D29" s="83"/>
      <c r="E29" s="92" t="s">
        <v>574</v>
      </c>
      <c r="F29" s="93">
        <v>1084</v>
      </c>
      <c r="G29" s="92" t="s">
        <v>232</v>
      </c>
      <c r="H29" s="92"/>
      <c r="J29" s="95" t="str">
        <f t="shared" si="1"/>
        <v>1084.TRAV</v>
      </c>
      <c r="K29" s="52" t="str">
        <f t="shared" si="6"/>
        <v>A Edmondston-SQ *EMBER -MealsBurnie -AE &amp;V De Santis</v>
      </c>
      <c r="L29" s="96" t="s">
        <v>32</v>
      </c>
      <c r="M29" s="97">
        <f t="shared" si="3"/>
        <v>135.5</v>
      </c>
      <c r="N29" s="98" t="s">
        <v>33</v>
      </c>
      <c r="O29" s="99"/>
      <c r="P29" s="98"/>
      <c r="R29" s="100">
        <f t="shared" si="4"/>
        <v>52</v>
      </c>
    </row>
    <row r="30" spans="1:18" ht="15.75" thickBot="1" x14ac:dyDescent="0.25">
      <c r="A30" s="47">
        <v>45863</v>
      </c>
      <c r="B30" s="47" t="s">
        <v>153</v>
      </c>
      <c r="C30" s="48">
        <v>15.5</v>
      </c>
      <c r="D30" s="48"/>
      <c r="E30" s="13" t="s">
        <v>557</v>
      </c>
      <c r="F30" s="49">
        <v>1084</v>
      </c>
      <c r="G30" s="13" t="s">
        <v>232</v>
      </c>
      <c r="H30" s="13"/>
      <c r="J30" s="51" t="str">
        <f t="shared" si="1"/>
        <v>1084.TRAV</v>
      </c>
      <c r="K30" s="52" t="str">
        <f t="shared" si="6"/>
        <v>A Edmondston-BELINDA SH-Food while in Burnie - Elphinstone Group Function</v>
      </c>
      <c r="L30" s="52" t="s">
        <v>32</v>
      </c>
      <c r="M30" s="53">
        <f t="shared" si="3"/>
        <v>15.5</v>
      </c>
      <c r="N30" s="54" t="s">
        <v>33</v>
      </c>
      <c r="O30" s="44"/>
      <c r="P30" s="54"/>
      <c r="R30" s="21">
        <f t="shared" si="4"/>
        <v>73</v>
      </c>
    </row>
    <row r="31" spans="1:18" ht="15.75" thickBot="1" x14ac:dyDescent="0.25">
      <c r="A31" s="47">
        <v>45863</v>
      </c>
      <c r="B31" s="47" t="s">
        <v>42</v>
      </c>
      <c r="C31" s="48">
        <v>19.87</v>
      </c>
      <c r="D31" s="48"/>
      <c r="E31" s="13" t="s">
        <v>562</v>
      </c>
      <c r="F31" s="49">
        <v>1084</v>
      </c>
      <c r="G31" s="13" t="s">
        <v>232</v>
      </c>
      <c r="H31" s="13"/>
      <c r="J31" s="51" t="str">
        <f t="shared" si="1"/>
        <v>1084.TRAV</v>
      </c>
      <c r="K31" s="52" t="str">
        <f t="shared" si="6"/>
        <v>A Edmondston-UBER *TRIP-Taxi to station for Burnie trip-Elphinstone Group Function</v>
      </c>
      <c r="L31" s="52" t="s">
        <v>32</v>
      </c>
      <c r="M31" s="53">
        <f t="shared" si="3"/>
        <v>19.87</v>
      </c>
      <c r="N31" s="54" t="s">
        <v>33</v>
      </c>
      <c r="O31" s="44"/>
      <c r="P31" s="54"/>
      <c r="R31" s="21">
        <f t="shared" si="4"/>
        <v>82</v>
      </c>
    </row>
    <row r="32" spans="1:18" ht="15.75" thickBot="1" x14ac:dyDescent="0.25">
      <c r="A32" s="47">
        <v>45862</v>
      </c>
      <c r="B32" s="47" t="s">
        <v>157</v>
      </c>
      <c r="C32" s="48">
        <v>15.45</v>
      </c>
      <c r="D32" s="48"/>
      <c r="E32" s="13" t="s">
        <v>557</v>
      </c>
      <c r="F32" s="49">
        <v>1084</v>
      </c>
      <c r="G32" s="13" t="s">
        <v>232</v>
      </c>
      <c r="H32" s="13"/>
      <c r="J32" s="51" t="str">
        <f t="shared" si="1"/>
        <v>1084.TRAV</v>
      </c>
      <c r="K32" s="52" t="str">
        <f t="shared" si="6"/>
        <v>A Edmondston-KFC BURNIE-Food while in Burnie - Elphinstone Group Function</v>
      </c>
      <c r="L32" s="52" t="s">
        <v>32</v>
      </c>
      <c r="M32" s="53">
        <f t="shared" si="3"/>
        <v>15.45</v>
      </c>
      <c r="N32" s="54" t="s">
        <v>33</v>
      </c>
      <c r="O32" s="44"/>
      <c r="P32" s="54"/>
      <c r="R32" s="21">
        <f t="shared" si="4"/>
        <v>73</v>
      </c>
    </row>
    <row r="33" spans="1:18" ht="15.75" thickBot="1" x14ac:dyDescent="0.25">
      <c r="A33" s="47">
        <v>45862</v>
      </c>
      <c r="B33" s="47" t="s">
        <v>158</v>
      </c>
      <c r="C33" s="48">
        <v>65.41</v>
      </c>
      <c r="D33" s="48"/>
      <c r="E33" s="13" t="s">
        <v>558</v>
      </c>
      <c r="F33" s="49">
        <v>1084</v>
      </c>
      <c r="G33" s="13" t="s">
        <v>232</v>
      </c>
      <c r="H33" s="13"/>
      <c r="J33" s="51" t="str">
        <f t="shared" si="1"/>
        <v>1084.TRAV</v>
      </c>
      <c r="K33" s="52" t="str">
        <f t="shared" si="6"/>
        <v>A Edmondston-EMU BAY T -Taxi from airport while in Burnie - Elphinstone Group Function</v>
      </c>
      <c r="L33" s="52" t="s">
        <v>32</v>
      </c>
      <c r="M33" s="53">
        <f t="shared" si="3"/>
        <v>65.41</v>
      </c>
      <c r="N33" s="54" t="s">
        <v>33</v>
      </c>
      <c r="O33" s="44"/>
      <c r="P33" s="54"/>
      <c r="R33" s="21">
        <f t="shared" si="4"/>
        <v>86</v>
      </c>
    </row>
    <row r="34" spans="1:18" ht="15.75" thickBot="1" x14ac:dyDescent="0.25">
      <c r="A34" s="47">
        <v>45862</v>
      </c>
      <c r="B34" s="47" t="s">
        <v>159</v>
      </c>
      <c r="C34" s="48">
        <v>8.1999999999999993</v>
      </c>
      <c r="D34" s="48"/>
      <c r="E34" s="13" t="s">
        <v>557</v>
      </c>
      <c r="F34" s="49">
        <v>1084</v>
      </c>
      <c r="G34" s="13" t="s">
        <v>232</v>
      </c>
      <c r="H34" s="13"/>
      <c r="J34" s="51" t="str">
        <f t="shared" si="1"/>
        <v>1084.TRAV</v>
      </c>
      <c r="K34" s="52" t="str">
        <f t="shared" si="6"/>
        <v>A Edmondston-STATION RE-Food while in Burnie - Elphinstone Group Function</v>
      </c>
      <c r="L34" s="52" t="s">
        <v>32</v>
      </c>
      <c r="M34" s="53">
        <f t="shared" si="3"/>
        <v>8.1999999999999993</v>
      </c>
      <c r="N34" s="54" t="s">
        <v>33</v>
      </c>
      <c r="O34" s="44"/>
      <c r="P34" s="54"/>
      <c r="R34" s="21">
        <f t="shared" si="4"/>
        <v>73</v>
      </c>
    </row>
    <row r="35" spans="1:18" ht="15.75" thickBot="1" x14ac:dyDescent="0.25">
      <c r="A35" s="47">
        <v>45861</v>
      </c>
      <c r="B35" s="47" t="s">
        <v>160</v>
      </c>
      <c r="C35" s="48">
        <v>90</v>
      </c>
      <c r="D35" s="48"/>
      <c r="E35" s="13" t="s">
        <v>559</v>
      </c>
      <c r="F35" s="49">
        <v>1084</v>
      </c>
      <c r="G35" s="13" t="s">
        <v>232</v>
      </c>
      <c r="H35" s="13"/>
      <c r="J35" s="51" t="str">
        <f t="shared" si="1"/>
        <v>1084.TRAV</v>
      </c>
      <c r="K35" s="52" t="str">
        <f t="shared" si="6"/>
        <v>A Edmondston-Airport Sh-Shuttle bus - Elphinstone Group Function</v>
      </c>
      <c r="L35" s="52" t="s">
        <v>32</v>
      </c>
      <c r="M35" s="53">
        <f t="shared" si="3"/>
        <v>90</v>
      </c>
      <c r="N35" s="54" t="s">
        <v>33</v>
      </c>
      <c r="O35" s="44"/>
      <c r="P35" s="54"/>
      <c r="R35" s="21">
        <f t="shared" si="4"/>
        <v>64</v>
      </c>
    </row>
    <row r="36" spans="1:18" x14ac:dyDescent="0.2">
      <c r="R36" s="21">
        <f t="shared" si="4"/>
        <v>0</v>
      </c>
    </row>
    <row r="37" spans="1:18" x14ac:dyDescent="0.2">
      <c r="R37" s="21">
        <f t="shared" si="4"/>
        <v>0</v>
      </c>
    </row>
  </sheetData>
  <mergeCells count="5">
    <mergeCell ref="J1:P1"/>
    <mergeCell ref="A4:H4"/>
    <mergeCell ref="J5:Q5"/>
    <mergeCell ref="E6:H7"/>
    <mergeCell ref="A1:H3"/>
  </mergeCells>
  <conditionalFormatting sqref="B17:B50">
    <cfRule type="cellIs" dxfId="17" priority="1" operator="lessThan">
      <formula>0</formula>
    </cfRule>
  </conditionalFormatting>
  <dataValidations count="1">
    <dataValidation type="list" allowBlank="1" showInputMessage="1" showErrorMessage="1" sqref="C36:C50" xr:uid="{C7643FF2-49AB-4AA1-8299-DF0B3BF3CEA2}">
      <formula1>"GST 10%, GST FREE"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5C708-5BC6-4C74-87BB-FC0297D4AC8E}">
  <sheetPr>
    <tabColor theme="5" tint="0.79998168889431442"/>
  </sheetPr>
  <dimension ref="A1:R35"/>
  <sheetViews>
    <sheetView topLeftCell="B1" workbookViewId="0">
      <selection activeCell="J11" sqref="J11:P11"/>
    </sheetView>
  </sheetViews>
  <sheetFormatPr defaultRowHeight="12.75" x14ac:dyDescent="0.2"/>
  <cols>
    <col min="1" max="1" width="17.42578125" style="3" customWidth="1"/>
    <col min="2" max="2" width="47.42578125" customWidth="1"/>
    <col min="3" max="3" width="13.5703125" customWidth="1"/>
    <col min="4" max="4" width="16.42578125" customWidth="1"/>
    <col min="5" max="5" width="11.85546875" customWidth="1"/>
    <col min="6" max="6" width="14.140625" bestFit="1" customWidth="1"/>
    <col min="7" max="7" width="13.42578125" bestFit="1" customWidth="1"/>
    <col min="8" max="8" width="15.5703125" customWidth="1"/>
    <col min="9" max="9" width="2.42578125" customWidth="1"/>
    <col min="10" max="10" width="21.85546875" bestFit="1" customWidth="1"/>
    <col min="11" max="11" width="65.42578125" bestFit="1" customWidth="1"/>
    <col min="12" max="12" width="4" bestFit="1" customWidth="1"/>
    <col min="15" max="15" width="21.42578125" customWidth="1"/>
    <col min="16" max="16" width="15.85546875" customWidth="1"/>
  </cols>
  <sheetData>
    <row r="1" spans="1:18" ht="12" customHeight="1" x14ac:dyDescent="0.2">
      <c r="A1" s="118" t="s">
        <v>12</v>
      </c>
      <c r="B1" s="119"/>
      <c r="C1" s="119"/>
      <c r="D1" s="119"/>
      <c r="E1" s="119"/>
      <c r="F1" s="119"/>
      <c r="G1" s="119"/>
      <c r="H1" s="119"/>
      <c r="J1" s="113" t="s">
        <v>13</v>
      </c>
      <c r="K1" s="113"/>
      <c r="L1" s="113"/>
      <c r="M1" s="113"/>
      <c r="N1" s="113"/>
      <c r="O1" s="113"/>
      <c r="P1" s="113"/>
    </row>
    <row r="2" spans="1:18" ht="12" customHeight="1" x14ac:dyDescent="0.2">
      <c r="A2" s="118"/>
      <c r="B2" s="119"/>
      <c r="C2" s="119"/>
      <c r="D2" s="119"/>
      <c r="E2" s="119"/>
      <c r="F2" s="119"/>
      <c r="G2" s="119"/>
      <c r="H2" s="119"/>
      <c r="J2" s="74" t="s">
        <v>508</v>
      </c>
      <c r="K2" s="88">
        <v>622.79</v>
      </c>
      <c r="L2" s="74"/>
      <c r="M2" s="74"/>
      <c r="N2" s="74"/>
      <c r="O2" s="74"/>
      <c r="P2" s="74"/>
    </row>
    <row r="3" spans="1:18" ht="12" customHeight="1" x14ac:dyDescent="0.2">
      <c r="A3" s="118"/>
      <c r="B3" s="119"/>
      <c r="C3" s="119"/>
      <c r="D3" s="119"/>
      <c r="E3" s="119"/>
      <c r="F3" s="119"/>
      <c r="G3" s="119"/>
      <c r="H3" s="119"/>
      <c r="J3" t="s">
        <v>509</v>
      </c>
      <c r="K3" s="21">
        <f>SUM(M9:M144)</f>
        <v>622.79000000000008</v>
      </c>
      <c r="L3" s="74"/>
      <c r="M3" s="74"/>
      <c r="N3" s="74"/>
      <c r="O3" s="74"/>
      <c r="P3" s="74"/>
    </row>
    <row r="4" spans="1:18" ht="12" customHeight="1" x14ac:dyDescent="0.2">
      <c r="A4" s="114" t="s">
        <v>161</v>
      </c>
      <c r="B4" s="113"/>
      <c r="C4" s="113"/>
      <c r="D4" s="113"/>
      <c r="E4" s="113"/>
      <c r="F4" s="113"/>
      <c r="G4" s="113"/>
      <c r="H4" s="113"/>
      <c r="J4" t="s">
        <v>510</v>
      </c>
      <c r="K4" s="21">
        <f>K2-K3</f>
        <v>0</v>
      </c>
    </row>
    <row r="5" spans="1:18" ht="12" customHeight="1" x14ac:dyDescent="0.2">
      <c r="A5" s="9" t="s">
        <v>3</v>
      </c>
      <c r="B5" s="10" t="str">
        <f>CONCATENATE(Header!$E$4,"Gort")</f>
        <v>MC-250816Gort</v>
      </c>
      <c r="C5" s="8"/>
      <c r="D5" s="8"/>
      <c r="E5" s="8"/>
      <c r="J5" s="115" t="s">
        <v>15</v>
      </c>
      <c r="K5" s="115"/>
      <c r="L5" s="115"/>
      <c r="M5" s="115"/>
      <c r="N5" s="115"/>
      <c r="O5" s="115"/>
      <c r="P5" s="115"/>
      <c r="Q5" s="115"/>
    </row>
    <row r="6" spans="1:18" ht="12" customHeight="1" x14ac:dyDescent="0.2">
      <c r="A6" s="9" t="s">
        <v>5</v>
      </c>
      <c r="B6" s="12">
        <f>Header!$E$5</f>
        <v>45885</v>
      </c>
      <c r="C6" s="8"/>
      <c r="D6" s="8"/>
      <c r="E6" s="116" t="s">
        <v>16</v>
      </c>
      <c r="F6" s="116"/>
      <c r="G6" s="116"/>
      <c r="H6" s="116"/>
    </row>
    <row r="7" spans="1:18" ht="12" customHeight="1" thickBot="1" x14ac:dyDescent="0.25">
      <c r="A7" s="11"/>
      <c r="B7" s="8"/>
      <c r="C7" s="8"/>
      <c r="D7" s="8"/>
      <c r="E7" s="117"/>
      <c r="F7" s="117"/>
      <c r="G7" s="117"/>
      <c r="H7" s="117"/>
    </row>
    <row r="8" spans="1:18" ht="45.75" thickBot="1" x14ac:dyDescent="0.25">
      <c r="A8" s="32" t="s">
        <v>17</v>
      </c>
      <c r="B8" s="33" t="s">
        <v>18</v>
      </c>
      <c r="C8" s="33" t="s">
        <v>19</v>
      </c>
      <c r="D8" s="33" t="s">
        <v>20</v>
      </c>
      <c r="E8" s="19" t="s">
        <v>36</v>
      </c>
      <c r="F8" s="16" t="s">
        <v>22</v>
      </c>
      <c r="G8" s="17" t="s">
        <v>23</v>
      </c>
      <c r="H8" s="18" t="s">
        <v>24</v>
      </c>
      <c r="J8" s="32" t="s">
        <v>25</v>
      </c>
      <c r="K8" s="33" t="s">
        <v>3</v>
      </c>
      <c r="L8" s="33" t="s">
        <v>26</v>
      </c>
      <c r="M8" s="33" t="s">
        <v>27</v>
      </c>
      <c r="N8" s="34" t="s">
        <v>28</v>
      </c>
      <c r="O8" s="34" t="s">
        <v>29</v>
      </c>
      <c r="P8" s="34" t="s">
        <v>30</v>
      </c>
      <c r="R8" s="90" t="s">
        <v>511</v>
      </c>
    </row>
    <row r="9" spans="1:18" ht="15.75" thickBot="1" x14ac:dyDescent="0.25">
      <c r="A9" s="45">
        <v>45867</v>
      </c>
      <c r="B9" s="45" t="s">
        <v>162</v>
      </c>
      <c r="C9" s="46">
        <v>422.72</v>
      </c>
      <c r="D9" s="46"/>
      <c r="E9" s="14" t="s">
        <v>535</v>
      </c>
      <c r="F9" s="49">
        <v>1084</v>
      </c>
      <c r="G9" s="14" t="s">
        <v>290</v>
      </c>
      <c r="H9" s="15"/>
      <c r="J9" s="51" t="str">
        <f t="shared" ref="J9:J10" si="0">IF(F9&gt;0,(_xlfn.CONCAT(F9,".",G9)),H9)</f>
        <v>1084.ITSW</v>
      </c>
      <c r="K9" s="52" t="str">
        <f>_xlfn.CONCAT("M Gort-",(LEFT(B9,15)),"-",E9)</f>
        <v xml:space="preserve">M Gort-Yoast B.V. merc-Website SEO plugin yearly fee </v>
      </c>
      <c r="L9" s="52" t="s">
        <v>32</v>
      </c>
      <c r="M9" s="53">
        <f>IF(C9&gt;0,C9,-D9)</f>
        <v>422.72</v>
      </c>
      <c r="N9" s="54" t="s">
        <v>150</v>
      </c>
      <c r="O9" s="44"/>
      <c r="P9" s="55"/>
      <c r="Q9" t="s">
        <v>34</v>
      </c>
      <c r="R9" s="21">
        <f>LEN(K9)</f>
        <v>53</v>
      </c>
    </row>
    <row r="10" spans="1:18" ht="15.75" thickBot="1" x14ac:dyDescent="0.25">
      <c r="A10" s="47">
        <v>45863</v>
      </c>
      <c r="B10" s="47" t="s">
        <v>163</v>
      </c>
      <c r="C10" s="48">
        <v>96.99</v>
      </c>
      <c r="D10" s="48"/>
      <c r="E10" s="13" t="s">
        <v>536</v>
      </c>
      <c r="F10" s="49">
        <v>1084</v>
      </c>
      <c r="G10" s="13" t="s">
        <v>290</v>
      </c>
      <c r="H10" s="50"/>
      <c r="J10" s="51" t="str">
        <f t="shared" si="0"/>
        <v>1084.ITSW</v>
      </c>
      <c r="K10" s="52" t="str">
        <f t="shared" ref="K10:K11" si="1">_xlfn.CONCAT("M Gort-",(LEFT(B10,15)),"-",E10)</f>
        <v xml:space="preserve">M Gort-Adobe Sydney AU-Adobe Creative Cloud monthly fee </v>
      </c>
      <c r="L10" s="52" t="s">
        <v>32</v>
      </c>
      <c r="M10" s="53">
        <f t="shared" ref="M10:M11" si="2">IF(C10&gt;0,C10,-D10)</f>
        <v>96.99</v>
      </c>
      <c r="N10" s="54" t="s">
        <v>33</v>
      </c>
      <c r="O10" s="44"/>
      <c r="P10" s="54"/>
      <c r="R10" s="21">
        <f t="shared" ref="R10:R35" si="3">LEN(K10)</f>
        <v>56</v>
      </c>
    </row>
    <row r="11" spans="1:18" ht="15.75" thickBot="1" x14ac:dyDescent="0.25">
      <c r="A11" s="47">
        <v>45856</v>
      </c>
      <c r="B11" s="47" t="s">
        <v>164</v>
      </c>
      <c r="C11" s="48">
        <v>103.08</v>
      </c>
      <c r="D11" s="48"/>
      <c r="E11" s="13" t="s">
        <v>537</v>
      </c>
      <c r="F11" s="13" t="s">
        <v>507</v>
      </c>
      <c r="G11" s="13" t="s">
        <v>441</v>
      </c>
      <c r="H11" s="13"/>
      <c r="J11" s="51" t="str">
        <f>IF(F11&gt;0,(_xlfn.CONCAT(F11,".",G11)),H11)</f>
        <v>1060GE2.MISC</v>
      </c>
      <c r="K11" s="52" t="str">
        <f t="shared" si="1"/>
        <v xml:space="preserve">M Gort-CODETWO JELENIA-Signature software extra licenses </v>
      </c>
      <c r="L11" s="52" t="s">
        <v>32</v>
      </c>
      <c r="M11" s="53">
        <f t="shared" si="2"/>
        <v>103.08</v>
      </c>
      <c r="N11" s="54" t="s">
        <v>150</v>
      </c>
      <c r="O11" s="44"/>
      <c r="P11" s="54"/>
      <c r="R11" s="21">
        <f t="shared" si="3"/>
        <v>57</v>
      </c>
    </row>
    <row r="12" spans="1:18" x14ac:dyDescent="0.2">
      <c r="R12" s="21">
        <f t="shared" si="3"/>
        <v>0</v>
      </c>
    </row>
    <row r="13" spans="1:18" x14ac:dyDescent="0.2">
      <c r="R13" s="21">
        <f t="shared" si="3"/>
        <v>0</v>
      </c>
    </row>
    <row r="14" spans="1:18" x14ac:dyDescent="0.2">
      <c r="R14" s="21">
        <f t="shared" si="3"/>
        <v>0</v>
      </c>
    </row>
    <row r="15" spans="1:18" x14ac:dyDescent="0.2">
      <c r="R15" s="21">
        <f t="shared" si="3"/>
        <v>0</v>
      </c>
    </row>
    <row r="16" spans="1:18" x14ac:dyDescent="0.2">
      <c r="R16" s="21">
        <f t="shared" si="3"/>
        <v>0</v>
      </c>
    </row>
    <row r="17" spans="18:18" x14ac:dyDescent="0.2">
      <c r="R17" s="21">
        <f t="shared" si="3"/>
        <v>0</v>
      </c>
    </row>
    <row r="18" spans="18:18" x14ac:dyDescent="0.2">
      <c r="R18" s="21">
        <f t="shared" si="3"/>
        <v>0</v>
      </c>
    </row>
    <row r="19" spans="18:18" x14ac:dyDescent="0.2">
      <c r="R19" s="21">
        <f t="shared" si="3"/>
        <v>0</v>
      </c>
    </row>
    <row r="20" spans="18:18" x14ac:dyDescent="0.2">
      <c r="R20" s="21">
        <f t="shared" si="3"/>
        <v>0</v>
      </c>
    </row>
    <row r="21" spans="18:18" x14ac:dyDescent="0.2">
      <c r="R21" s="21">
        <f t="shared" si="3"/>
        <v>0</v>
      </c>
    </row>
    <row r="22" spans="18:18" x14ac:dyDescent="0.2">
      <c r="R22" s="21">
        <f t="shared" si="3"/>
        <v>0</v>
      </c>
    </row>
    <row r="23" spans="18:18" x14ac:dyDescent="0.2">
      <c r="R23" s="21">
        <f t="shared" si="3"/>
        <v>0</v>
      </c>
    </row>
    <row r="24" spans="18:18" x14ac:dyDescent="0.2">
      <c r="R24" s="21">
        <f t="shared" si="3"/>
        <v>0</v>
      </c>
    </row>
    <row r="25" spans="18:18" x14ac:dyDescent="0.2">
      <c r="R25" s="21">
        <f t="shared" si="3"/>
        <v>0</v>
      </c>
    </row>
    <row r="26" spans="18:18" x14ac:dyDescent="0.2">
      <c r="R26" s="21">
        <f t="shared" si="3"/>
        <v>0</v>
      </c>
    </row>
    <row r="27" spans="18:18" x14ac:dyDescent="0.2">
      <c r="R27" s="21">
        <f t="shared" si="3"/>
        <v>0</v>
      </c>
    </row>
    <row r="28" spans="18:18" x14ac:dyDescent="0.2">
      <c r="R28" s="21">
        <f t="shared" si="3"/>
        <v>0</v>
      </c>
    </row>
    <row r="29" spans="18:18" x14ac:dyDescent="0.2">
      <c r="R29" s="21">
        <f t="shared" si="3"/>
        <v>0</v>
      </c>
    </row>
    <row r="30" spans="18:18" x14ac:dyDescent="0.2">
      <c r="R30" s="21">
        <f t="shared" si="3"/>
        <v>0</v>
      </c>
    </row>
    <row r="31" spans="18:18" x14ac:dyDescent="0.2">
      <c r="R31" s="21">
        <f t="shared" si="3"/>
        <v>0</v>
      </c>
    </row>
    <row r="32" spans="18:18" x14ac:dyDescent="0.2">
      <c r="R32" s="21">
        <f t="shared" si="3"/>
        <v>0</v>
      </c>
    </row>
    <row r="33" spans="18:18" x14ac:dyDescent="0.2">
      <c r="R33" s="21">
        <f t="shared" si="3"/>
        <v>0</v>
      </c>
    </row>
    <row r="34" spans="18:18" x14ac:dyDescent="0.2">
      <c r="R34" s="21">
        <f t="shared" si="3"/>
        <v>0</v>
      </c>
    </row>
    <row r="35" spans="18:18" x14ac:dyDescent="0.2">
      <c r="R35" s="21">
        <f t="shared" si="3"/>
        <v>0</v>
      </c>
    </row>
  </sheetData>
  <mergeCells count="5">
    <mergeCell ref="J1:P1"/>
    <mergeCell ref="A4:H4"/>
    <mergeCell ref="J5:Q5"/>
    <mergeCell ref="E6:H7"/>
    <mergeCell ref="A1:H3"/>
  </mergeCells>
  <conditionalFormatting sqref="B12:B43">
    <cfRule type="cellIs" dxfId="16" priority="1" operator="lessThan">
      <formula>0</formula>
    </cfRule>
  </conditionalFormatting>
  <dataValidations count="1">
    <dataValidation type="list" allowBlank="1" showInputMessage="1" showErrorMessage="1" sqref="C12:C43" xr:uid="{5CE4A6CF-540A-488B-9AA2-1131FC5D53CD}">
      <formula1>"GST 10%, GST FREE"</formula1>
    </dataValidation>
  </dataValidation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 tint="0.79998168889431442"/>
  </sheetPr>
  <dimension ref="A1:R72"/>
  <sheetViews>
    <sheetView topLeftCell="A36" workbookViewId="0">
      <selection activeCell="J64" sqref="J64:P72"/>
    </sheetView>
  </sheetViews>
  <sheetFormatPr defaultRowHeight="12.75" x14ac:dyDescent="0.2"/>
  <cols>
    <col min="1" max="1" width="17.42578125" style="3" customWidth="1"/>
    <col min="2" max="2" width="47.42578125" customWidth="1"/>
    <col min="3" max="3" width="13.5703125" customWidth="1"/>
    <col min="4" max="4" width="16.42578125" customWidth="1"/>
    <col min="5" max="5" width="11.85546875" customWidth="1"/>
    <col min="6" max="6" width="14.140625" bestFit="1" customWidth="1"/>
    <col min="7" max="7" width="13.42578125" bestFit="1" customWidth="1"/>
    <col min="8" max="8" width="15.5703125" customWidth="1"/>
    <col min="9" max="9" width="2.42578125" customWidth="1"/>
    <col min="10" max="10" width="21.85546875" bestFit="1" customWidth="1"/>
    <col min="11" max="11" width="19.42578125" bestFit="1" customWidth="1"/>
    <col min="12" max="12" width="4" bestFit="1" customWidth="1"/>
    <col min="15" max="15" width="21.42578125" customWidth="1"/>
    <col min="16" max="16" width="15.85546875" customWidth="1"/>
  </cols>
  <sheetData>
    <row r="1" spans="1:18" ht="12" customHeight="1" x14ac:dyDescent="0.2">
      <c r="A1" s="118" t="s">
        <v>12</v>
      </c>
      <c r="B1" s="119"/>
      <c r="C1" s="119"/>
      <c r="D1" s="119"/>
      <c r="E1" s="119"/>
      <c r="F1" s="119"/>
      <c r="G1" s="119"/>
      <c r="H1" s="119"/>
      <c r="J1" s="113" t="s">
        <v>13</v>
      </c>
      <c r="K1" s="113"/>
      <c r="L1" s="113"/>
      <c r="M1" s="113"/>
      <c r="N1" s="113"/>
      <c r="O1" s="113"/>
      <c r="P1" s="113"/>
    </row>
    <row r="2" spans="1:18" ht="12" customHeight="1" x14ac:dyDescent="0.2">
      <c r="A2" s="118"/>
      <c r="B2" s="119"/>
      <c r="C2" s="119"/>
      <c r="D2" s="119"/>
      <c r="E2" s="119"/>
      <c r="F2" s="119"/>
      <c r="G2" s="119"/>
      <c r="H2" s="119"/>
      <c r="J2" s="74" t="s">
        <v>508</v>
      </c>
      <c r="K2" s="88">
        <v>4667.18</v>
      </c>
      <c r="L2" s="74"/>
      <c r="M2" s="74"/>
      <c r="N2" s="74"/>
      <c r="O2" s="74"/>
      <c r="P2" s="74"/>
    </row>
    <row r="3" spans="1:18" ht="12" customHeight="1" x14ac:dyDescent="0.2">
      <c r="A3" s="118"/>
      <c r="B3" s="119"/>
      <c r="C3" s="119"/>
      <c r="D3" s="119"/>
      <c r="E3" s="119"/>
      <c r="F3" s="119"/>
      <c r="G3" s="119"/>
      <c r="H3" s="119"/>
      <c r="J3" t="s">
        <v>509</v>
      </c>
      <c r="K3" s="21">
        <f>SUM(M9:M144)</f>
        <v>4667.18</v>
      </c>
      <c r="L3" s="74"/>
      <c r="M3" s="74"/>
      <c r="N3" s="74"/>
      <c r="O3" s="74"/>
      <c r="P3" s="74"/>
    </row>
    <row r="4" spans="1:18" ht="12" customHeight="1" x14ac:dyDescent="0.2">
      <c r="A4" s="114" t="s">
        <v>165</v>
      </c>
      <c r="B4" s="113"/>
      <c r="C4" s="113"/>
      <c r="D4" s="113"/>
      <c r="E4" s="113"/>
      <c r="F4" s="113"/>
      <c r="G4" s="113"/>
      <c r="H4" s="113"/>
      <c r="J4" t="s">
        <v>510</v>
      </c>
      <c r="K4" s="21">
        <f>K2-K3</f>
        <v>0</v>
      </c>
    </row>
    <row r="5" spans="1:18" ht="12" customHeight="1" x14ac:dyDescent="0.2">
      <c r="A5" s="9" t="s">
        <v>3</v>
      </c>
      <c r="B5" s="10" t="str">
        <f>CONCATENATE(Header!$E$4,"Grigg")</f>
        <v>MC-250816Grigg</v>
      </c>
      <c r="C5" s="8"/>
      <c r="D5" s="8"/>
      <c r="E5" s="8"/>
      <c r="J5" s="115" t="s">
        <v>15</v>
      </c>
      <c r="K5" s="115"/>
      <c r="L5" s="115"/>
      <c r="M5" s="115"/>
      <c r="N5" s="115"/>
      <c r="O5" s="115"/>
      <c r="P5" s="115"/>
      <c r="Q5" s="115"/>
    </row>
    <row r="6" spans="1:18" ht="12" customHeight="1" x14ac:dyDescent="0.2">
      <c r="A6" s="9" t="s">
        <v>5</v>
      </c>
      <c r="B6" s="12">
        <f>Header!$E$5</f>
        <v>45885</v>
      </c>
      <c r="C6" s="8"/>
      <c r="D6" s="8"/>
      <c r="E6" s="116" t="s">
        <v>16</v>
      </c>
      <c r="F6" s="116"/>
      <c r="G6" s="116"/>
      <c r="H6" s="116"/>
    </row>
    <row r="7" spans="1:18" ht="12" customHeight="1" thickBot="1" x14ac:dyDescent="0.25">
      <c r="A7" s="11"/>
      <c r="B7" s="8"/>
      <c r="C7" s="8"/>
      <c r="D7" s="8"/>
      <c r="E7" s="117"/>
      <c r="F7" s="117"/>
      <c r="G7" s="117"/>
      <c r="H7" s="117"/>
    </row>
    <row r="8" spans="1:18" ht="45.75" thickBot="1" x14ac:dyDescent="0.25">
      <c r="A8" s="32" t="s">
        <v>17</v>
      </c>
      <c r="B8" s="33" t="s">
        <v>18</v>
      </c>
      <c r="C8" s="33" t="s">
        <v>19</v>
      </c>
      <c r="D8" s="33" t="s">
        <v>20</v>
      </c>
      <c r="E8" s="19" t="s">
        <v>36</v>
      </c>
      <c r="F8" s="16" t="s">
        <v>22</v>
      </c>
      <c r="G8" s="17" t="s">
        <v>23</v>
      </c>
      <c r="H8" s="18" t="s">
        <v>24</v>
      </c>
      <c r="J8" s="32" t="s">
        <v>25</v>
      </c>
      <c r="K8" s="33" t="s">
        <v>3</v>
      </c>
      <c r="L8" s="33" t="s">
        <v>26</v>
      </c>
      <c r="M8" s="33" t="s">
        <v>27</v>
      </c>
      <c r="N8" s="34" t="s">
        <v>28</v>
      </c>
      <c r="O8" s="34" t="s">
        <v>29</v>
      </c>
      <c r="P8" s="34" t="s">
        <v>30</v>
      </c>
      <c r="R8" s="90" t="s">
        <v>511</v>
      </c>
    </row>
    <row r="9" spans="1:18" ht="15.75" thickBot="1" x14ac:dyDescent="0.25">
      <c r="A9" s="45">
        <v>45882</v>
      </c>
      <c r="B9" s="45" t="s">
        <v>166</v>
      </c>
      <c r="C9" s="46">
        <v>10.130000000000001</v>
      </c>
      <c r="D9" s="46"/>
      <c r="E9" s="14" t="s">
        <v>167</v>
      </c>
      <c r="F9" s="49" t="s">
        <v>366</v>
      </c>
      <c r="G9" s="71" t="s">
        <v>367</v>
      </c>
      <c r="H9" s="15"/>
      <c r="J9" s="51" t="str">
        <f t="shared" ref="J9" si="0">IF(F9&gt;0,(_xlfn.CONCAT(F9,".",G9)),H9)</f>
        <v>G077.SALP</v>
      </c>
      <c r="K9" s="52" t="str">
        <f>_xlfn.CONCAT("N Grigg-",(LEFT(B9,15)),"-",E9)</f>
        <v>N Grigg-WHSMITH SYD PIE-airport - Drinks</v>
      </c>
      <c r="L9" s="52" t="s">
        <v>32</v>
      </c>
      <c r="M9" s="53">
        <f>IF(C9&gt;0,C9,-D9)</f>
        <v>10.130000000000001</v>
      </c>
      <c r="N9" s="54" t="s">
        <v>33</v>
      </c>
      <c r="O9" s="44"/>
      <c r="P9" s="55"/>
      <c r="Q9" t="s">
        <v>34</v>
      </c>
      <c r="R9" s="21">
        <f>LEN(K9)</f>
        <v>40</v>
      </c>
    </row>
    <row r="10" spans="1:18" ht="15.75" thickBot="1" x14ac:dyDescent="0.25">
      <c r="A10" s="47">
        <v>45882</v>
      </c>
      <c r="B10" s="47" t="s">
        <v>169</v>
      </c>
      <c r="C10" s="48">
        <v>8.0299999999999994</v>
      </c>
      <c r="D10" s="48"/>
      <c r="E10" s="13" t="s">
        <v>170</v>
      </c>
      <c r="F10" s="49" t="s">
        <v>366</v>
      </c>
      <c r="G10" s="71" t="s">
        <v>367</v>
      </c>
      <c r="H10" s="50"/>
      <c r="J10" s="51" t="str">
        <f t="shared" ref="J10:J72" si="1">IF(F10&gt;0,(_xlfn.CONCAT(F10,".",G10)),H10)</f>
        <v>G077.SALP</v>
      </c>
      <c r="K10" s="52" t="str">
        <f t="shared" ref="K10:K72" si="2">_xlfn.CONCAT("N Grigg-",(LEFT(B10,15)),"-",E10)</f>
        <v>N Grigg-TRANSPORTFORNSW-Travel NC</v>
      </c>
      <c r="L10" s="52" t="s">
        <v>32</v>
      </c>
      <c r="M10" s="53">
        <f t="shared" ref="M10:M72" si="3">IF(C10&gt;0,C10,-D10)</f>
        <v>8.0299999999999994</v>
      </c>
      <c r="N10" s="54" t="s">
        <v>33</v>
      </c>
      <c r="O10" s="44"/>
      <c r="P10" s="54"/>
      <c r="R10" s="21">
        <f t="shared" ref="R10:R72" si="4">LEN(K10)</f>
        <v>33</v>
      </c>
    </row>
    <row r="11" spans="1:18" ht="15.75" thickBot="1" x14ac:dyDescent="0.25">
      <c r="A11" s="47">
        <v>45882</v>
      </c>
      <c r="B11" s="47" t="s">
        <v>171</v>
      </c>
      <c r="C11" s="48">
        <v>6.59</v>
      </c>
      <c r="D11" s="48"/>
      <c r="E11" s="13" t="s">
        <v>170</v>
      </c>
      <c r="F11" s="49" t="s">
        <v>366</v>
      </c>
      <c r="G11" s="71" t="s">
        <v>367</v>
      </c>
      <c r="H11" s="13"/>
      <c r="J11" s="51" t="str">
        <f t="shared" si="1"/>
        <v>G077.SALP</v>
      </c>
      <c r="K11" s="52" t="str">
        <f t="shared" si="2"/>
        <v>N Grigg-ZLR*S1TOBYA Mas-Travel NC</v>
      </c>
      <c r="L11" s="52" t="s">
        <v>32</v>
      </c>
      <c r="M11" s="53">
        <f t="shared" si="3"/>
        <v>6.59</v>
      </c>
      <c r="N11" s="54" t="s">
        <v>33</v>
      </c>
      <c r="O11" s="44"/>
      <c r="P11" s="54"/>
      <c r="R11" s="21">
        <f t="shared" si="4"/>
        <v>33</v>
      </c>
    </row>
    <row r="12" spans="1:18" ht="15.75" thickBot="1" x14ac:dyDescent="0.25">
      <c r="A12" s="47">
        <v>45881</v>
      </c>
      <c r="B12" s="47" t="s">
        <v>172</v>
      </c>
      <c r="C12" s="48">
        <v>27.18</v>
      </c>
      <c r="D12" s="48"/>
      <c r="E12" s="13" t="s">
        <v>173</v>
      </c>
      <c r="F12" s="49">
        <v>1084</v>
      </c>
      <c r="G12" s="71" t="s">
        <v>113</v>
      </c>
      <c r="H12" s="50"/>
      <c r="J12" s="51" t="str">
        <f t="shared" si="1"/>
        <v>1084.PERS</v>
      </c>
      <c r="K12" s="52" t="str">
        <f t="shared" si="2"/>
        <v>N Grigg-UFS HEALTHCARE -Persoanl Cost</v>
      </c>
      <c r="L12" s="52" t="s">
        <v>32</v>
      </c>
      <c r="M12" s="53">
        <f t="shared" si="3"/>
        <v>27.18</v>
      </c>
      <c r="N12" s="54" t="s">
        <v>150</v>
      </c>
      <c r="O12" s="44"/>
      <c r="P12" s="54"/>
      <c r="R12" s="21">
        <f t="shared" si="4"/>
        <v>37</v>
      </c>
    </row>
    <row r="13" spans="1:18" ht="15.75" thickBot="1" x14ac:dyDescent="0.25">
      <c r="A13" s="47">
        <v>45881</v>
      </c>
      <c r="B13" s="47" t="s">
        <v>174</v>
      </c>
      <c r="C13" s="48">
        <v>112.79</v>
      </c>
      <c r="D13" s="48"/>
      <c r="E13" s="13" t="s">
        <v>175</v>
      </c>
      <c r="F13" s="49" t="s">
        <v>366</v>
      </c>
      <c r="G13" s="71" t="s">
        <v>367</v>
      </c>
      <c r="H13" s="13"/>
      <c r="J13" s="51" t="str">
        <f t="shared" si="1"/>
        <v>G077.SALP</v>
      </c>
      <c r="K13" s="52" t="str">
        <f t="shared" si="2"/>
        <v xml:space="preserve">N Grigg-APCO ALFREDTON -Travel NC - Fuel - </v>
      </c>
      <c r="L13" s="52" t="s">
        <v>32</v>
      </c>
      <c r="M13" s="53">
        <f t="shared" si="3"/>
        <v>112.79</v>
      </c>
      <c r="N13" s="54" t="s">
        <v>33</v>
      </c>
      <c r="O13" s="44"/>
      <c r="P13" s="54"/>
      <c r="R13" s="21">
        <f t="shared" si="4"/>
        <v>43</v>
      </c>
    </row>
    <row r="14" spans="1:18" ht="15.75" thickBot="1" x14ac:dyDescent="0.25">
      <c r="A14" s="47">
        <v>45881</v>
      </c>
      <c r="B14" s="47" t="s">
        <v>176</v>
      </c>
      <c r="C14" s="48">
        <v>31.82</v>
      </c>
      <c r="D14" s="48"/>
      <c r="E14" s="13" t="s">
        <v>177</v>
      </c>
      <c r="F14" s="49" t="s">
        <v>366</v>
      </c>
      <c r="G14" s="71" t="s">
        <v>367</v>
      </c>
      <c r="H14" s="13"/>
      <c r="J14" s="51" t="str">
        <f t="shared" si="1"/>
        <v>G077.SALP</v>
      </c>
      <c r="K14" s="52" t="str">
        <f t="shared" si="2"/>
        <v>N Grigg-THINK ASIA T4 M-Airport Dinner</v>
      </c>
      <c r="L14" s="52" t="s">
        <v>32</v>
      </c>
      <c r="M14" s="53">
        <f t="shared" si="3"/>
        <v>31.82</v>
      </c>
      <c r="N14" s="54" t="s">
        <v>33</v>
      </c>
      <c r="O14" s="44"/>
      <c r="P14" s="54"/>
      <c r="R14" s="21">
        <f t="shared" si="4"/>
        <v>38</v>
      </c>
    </row>
    <row r="15" spans="1:18" ht="15.75" thickBot="1" x14ac:dyDescent="0.25">
      <c r="A15" s="47">
        <v>45881</v>
      </c>
      <c r="B15" s="47" t="s">
        <v>178</v>
      </c>
      <c r="C15" s="48">
        <v>111</v>
      </c>
      <c r="D15" s="48"/>
      <c r="E15" s="13" t="s">
        <v>170</v>
      </c>
      <c r="F15" s="49" t="s">
        <v>366</v>
      </c>
      <c r="G15" s="71" t="s">
        <v>367</v>
      </c>
      <c r="H15" s="13"/>
      <c r="J15" s="51" t="str">
        <f t="shared" si="1"/>
        <v>G077.SALP</v>
      </c>
      <c r="K15" s="52" t="str">
        <f t="shared" si="2"/>
        <v>N Grigg-MELBOURNE AIRPO-Travel NC</v>
      </c>
      <c r="L15" s="52" t="s">
        <v>32</v>
      </c>
      <c r="M15" s="53">
        <f t="shared" si="3"/>
        <v>111</v>
      </c>
      <c r="N15" s="54" t="s">
        <v>33</v>
      </c>
      <c r="O15" s="44"/>
      <c r="P15" s="54"/>
      <c r="R15" s="21">
        <f t="shared" si="4"/>
        <v>33</v>
      </c>
    </row>
    <row r="16" spans="1:18" ht="15.75" thickBot="1" x14ac:dyDescent="0.25">
      <c r="A16" s="47">
        <v>45880</v>
      </c>
      <c r="B16" s="47" t="s">
        <v>42</v>
      </c>
      <c r="C16" s="48">
        <v>12.05</v>
      </c>
      <c r="D16" s="48"/>
      <c r="E16" s="13" t="s">
        <v>170</v>
      </c>
      <c r="F16" s="49" t="s">
        <v>366</v>
      </c>
      <c r="G16" s="71" t="s">
        <v>367</v>
      </c>
      <c r="H16" s="13"/>
      <c r="J16" s="51" t="str">
        <f t="shared" si="1"/>
        <v>G077.SALP</v>
      </c>
      <c r="K16" s="52" t="str">
        <f t="shared" si="2"/>
        <v>N Grigg-UBER *TRIP HELP-Travel NC</v>
      </c>
      <c r="L16" s="52" t="s">
        <v>32</v>
      </c>
      <c r="M16" s="53">
        <f t="shared" si="3"/>
        <v>12.05</v>
      </c>
      <c r="N16" s="54" t="s">
        <v>33</v>
      </c>
      <c r="O16" s="44"/>
      <c r="P16" s="54"/>
      <c r="R16" s="21">
        <f t="shared" si="4"/>
        <v>33</v>
      </c>
    </row>
    <row r="17" spans="1:18" ht="15.75" thickBot="1" x14ac:dyDescent="0.25">
      <c r="A17" s="47">
        <v>45879</v>
      </c>
      <c r="B17" s="47" t="s">
        <v>179</v>
      </c>
      <c r="C17" s="48">
        <v>263.31</v>
      </c>
      <c r="D17" s="48"/>
      <c r="E17" s="13" t="s">
        <v>180</v>
      </c>
      <c r="F17" s="49" t="s">
        <v>366</v>
      </c>
      <c r="G17" s="71" t="s">
        <v>367</v>
      </c>
      <c r="H17" s="13"/>
      <c r="J17" s="51" t="str">
        <f t="shared" si="1"/>
        <v>G077.SALP</v>
      </c>
      <c r="K17" s="52" t="str">
        <f t="shared" si="2"/>
        <v>N Grigg-VIRGIN AU795442-Flight Kal- Diggers</v>
      </c>
      <c r="L17" s="52" t="s">
        <v>32</v>
      </c>
      <c r="M17" s="53">
        <f t="shared" si="3"/>
        <v>263.31</v>
      </c>
      <c r="N17" s="54" t="s">
        <v>33</v>
      </c>
      <c r="O17" s="44"/>
      <c r="P17" s="54"/>
      <c r="R17" s="21">
        <f t="shared" si="4"/>
        <v>43</v>
      </c>
    </row>
    <row r="18" spans="1:18" ht="15.75" thickBot="1" x14ac:dyDescent="0.25">
      <c r="A18" s="47">
        <v>45879</v>
      </c>
      <c r="B18" s="47" t="s">
        <v>181</v>
      </c>
      <c r="C18" s="48">
        <v>385.79</v>
      </c>
      <c r="D18" s="48"/>
      <c r="E18" s="13" t="s">
        <v>182</v>
      </c>
      <c r="F18" s="49" t="s">
        <v>366</v>
      </c>
      <c r="G18" s="71" t="s">
        <v>367</v>
      </c>
      <c r="H18" s="13"/>
      <c r="J18" s="51" t="str">
        <f t="shared" si="1"/>
        <v>G077.SALP</v>
      </c>
      <c r="K18" s="52" t="str">
        <f t="shared" si="2"/>
        <v>N Grigg-QANTAS081237450-Flight perth - Diggers</v>
      </c>
      <c r="L18" s="52" t="s">
        <v>32</v>
      </c>
      <c r="M18" s="53">
        <f t="shared" si="3"/>
        <v>385.79</v>
      </c>
      <c r="N18" s="54" t="s">
        <v>33</v>
      </c>
      <c r="O18" s="44"/>
      <c r="P18" s="54"/>
      <c r="R18" s="21">
        <f t="shared" si="4"/>
        <v>46</v>
      </c>
    </row>
    <row r="19" spans="1:18" ht="15.75" thickBot="1" x14ac:dyDescent="0.25">
      <c r="A19" s="47">
        <v>45877</v>
      </c>
      <c r="B19" s="47" t="s">
        <v>42</v>
      </c>
      <c r="C19" s="48">
        <v>8.94</v>
      </c>
      <c r="D19" s="48"/>
      <c r="E19" s="13" t="s">
        <v>170</v>
      </c>
      <c r="F19" s="49" t="s">
        <v>366</v>
      </c>
      <c r="G19" s="71" t="s">
        <v>367</v>
      </c>
      <c r="H19" s="13"/>
      <c r="J19" s="51" t="str">
        <f t="shared" si="1"/>
        <v>G077.SALP</v>
      </c>
      <c r="K19" s="52" t="str">
        <f t="shared" si="2"/>
        <v>N Grigg-UBER *TRIP HELP-Travel NC</v>
      </c>
      <c r="L19" s="52" t="s">
        <v>32</v>
      </c>
      <c r="M19" s="53">
        <f t="shared" si="3"/>
        <v>8.94</v>
      </c>
      <c r="N19" s="54" t="s">
        <v>33</v>
      </c>
      <c r="O19" s="44"/>
      <c r="P19" s="54"/>
      <c r="R19" s="21">
        <f t="shared" si="4"/>
        <v>33</v>
      </c>
    </row>
    <row r="20" spans="1:18" ht="15.75" thickBot="1" x14ac:dyDescent="0.25">
      <c r="A20" s="47">
        <v>45877</v>
      </c>
      <c r="B20" s="47" t="s">
        <v>42</v>
      </c>
      <c r="C20" s="48">
        <v>173.35</v>
      </c>
      <c r="D20" s="48"/>
      <c r="E20" s="13" t="s">
        <v>170</v>
      </c>
      <c r="F20" s="49" t="s">
        <v>366</v>
      </c>
      <c r="G20" s="71" t="s">
        <v>367</v>
      </c>
      <c r="H20" s="13"/>
      <c r="J20" s="51" t="str">
        <f t="shared" si="1"/>
        <v>G077.SALP</v>
      </c>
      <c r="K20" s="52" t="str">
        <f t="shared" si="2"/>
        <v>N Grigg-UBER *TRIP HELP-Travel NC</v>
      </c>
      <c r="L20" s="52" t="s">
        <v>32</v>
      </c>
      <c r="M20" s="53">
        <f t="shared" si="3"/>
        <v>173.35</v>
      </c>
      <c r="N20" s="54" t="s">
        <v>33</v>
      </c>
      <c r="O20" s="44"/>
      <c r="P20" s="54"/>
      <c r="R20" s="21">
        <f t="shared" si="4"/>
        <v>33</v>
      </c>
    </row>
    <row r="21" spans="1:18" ht="15.75" thickBot="1" x14ac:dyDescent="0.25">
      <c r="A21" s="47">
        <v>45877</v>
      </c>
      <c r="B21" s="47" t="s">
        <v>42</v>
      </c>
      <c r="C21" s="48">
        <v>31.53</v>
      </c>
      <c r="D21" s="48"/>
      <c r="E21" s="13" t="s">
        <v>170</v>
      </c>
      <c r="F21" s="49" t="s">
        <v>366</v>
      </c>
      <c r="G21" s="71" t="s">
        <v>367</v>
      </c>
      <c r="H21" s="13"/>
      <c r="J21" s="51" t="str">
        <f t="shared" si="1"/>
        <v>G077.SALP</v>
      </c>
      <c r="K21" s="52" t="str">
        <f t="shared" si="2"/>
        <v>N Grigg-UBER *TRIP HELP-Travel NC</v>
      </c>
      <c r="L21" s="52" t="s">
        <v>32</v>
      </c>
      <c r="M21" s="53">
        <f t="shared" si="3"/>
        <v>31.53</v>
      </c>
      <c r="N21" s="54" t="s">
        <v>33</v>
      </c>
      <c r="O21" s="44"/>
      <c r="P21" s="54"/>
      <c r="R21" s="21">
        <f t="shared" si="4"/>
        <v>33</v>
      </c>
    </row>
    <row r="22" spans="1:18" ht="15.75" thickBot="1" x14ac:dyDescent="0.25">
      <c r="A22" s="47">
        <v>45877</v>
      </c>
      <c r="B22" s="47" t="s">
        <v>183</v>
      </c>
      <c r="C22" s="48">
        <v>35.61</v>
      </c>
      <c r="D22" s="48"/>
      <c r="E22" s="13" t="s">
        <v>184</v>
      </c>
      <c r="F22" s="49" t="s">
        <v>366</v>
      </c>
      <c r="G22" s="71" t="s">
        <v>367</v>
      </c>
      <c r="H22" s="13"/>
      <c r="J22" s="51" t="str">
        <f t="shared" si="1"/>
        <v>G077.SALP</v>
      </c>
      <c r="K22" s="52" t="str">
        <f t="shared" si="2"/>
        <v>N Grigg-MondoMenu Long -Food Airport</v>
      </c>
      <c r="L22" s="52" t="s">
        <v>32</v>
      </c>
      <c r="M22" s="53">
        <f t="shared" si="3"/>
        <v>35.61</v>
      </c>
      <c r="N22" s="54" t="s">
        <v>33</v>
      </c>
      <c r="O22" s="44"/>
      <c r="P22" s="54"/>
      <c r="R22" s="21">
        <f t="shared" si="4"/>
        <v>36</v>
      </c>
    </row>
    <row r="23" spans="1:18" ht="15.75" thickBot="1" x14ac:dyDescent="0.25">
      <c r="A23" s="47">
        <v>45876</v>
      </c>
      <c r="B23" s="47" t="s">
        <v>185</v>
      </c>
      <c r="C23" s="48">
        <v>282.67</v>
      </c>
      <c r="D23" s="48"/>
      <c r="E23" s="13" t="s">
        <v>186</v>
      </c>
      <c r="F23" s="49" t="s">
        <v>366</v>
      </c>
      <c r="G23" s="71" t="s">
        <v>367</v>
      </c>
      <c r="H23" s="13"/>
      <c r="J23" s="51" t="str">
        <f t="shared" si="1"/>
        <v>G077.SALP</v>
      </c>
      <c r="K23" s="52" t="str">
        <f t="shared" si="2"/>
        <v>N Grigg-H.I. West Perth-Accom - Diggers NG</v>
      </c>
      <c r="L23" s="52" t="s">
        <v>32</v>
      </c>
      <c r="M23" s="53">
        <f t="shared" si="3"/>
        <v>282.67</v>
      </c>
      <c r="N23" s="54" t="s">
        <v>33</v>
      </c>
      <c r="O23" s="44"/>
      <c r="P23" s="54"/>
      <c r="R23" s="21">
        <f t="shared" si="4"/>
        <v>42</v>
      </c>
    </row>
    <row r="24" spans="1:18" ht="15.75" thickBot="1" x14ac:dyDescent="0.25">
      <c r="A24" s="47">
        <v>45876</v>
      </c>
      <c r="B24" s="47" t="s">
        <v>187</v>
      </c>
      <c r="C24" s="48">
        <v>64.099999999999994</v>
      </c>
      <c r="D24" s="48"/>
      <c r="E24" s="13" t="s">
        <v>170</v>
      </c>
      <c r="F24" s="49" t="s">
        <v>366</v>
      </c>
      <c r="G24" s="71" t="s">
        <v>367</v>
      </c>
      <c r="H24" s="13"/>
      <c r="J24" s="51" t="str">
        <f t="shared" si="1"/>
        <v>G077.SALP</v>
      </c>
      <c r="K24" s="52" t="str">
        <f t="shared" si="2"/>
        <v>N Grigg-BP KAMBALDA 623-Travel NC</v>
      </c>
      <c r="L24" s="52" t="s">
        <v>32</v>
      </c>
      <c r="M24" s="53">
        <f t="shared" si="3"/>
        <v>64.099999999999994</v>
      </c>
      <c r="N24" s="54" t="s">
        <v>33</v>
      </c>
      <c r="O24" s="44"/>
      <c r="P24" s="54"/>
      <c r="R24" s="21">
        <f t="shared" si="4"/>
        <v>33</v>
      </c>
    </row>
    <row r="25" spans="1:18" ht="15.75" thickBot="1" x14ac:dyDescent="0.25">
      <c r="A25" s="47">
        <v>45876</v>
      </c>
      <c r="B25" s="47" t="s">
        <v>188</v>
      </c>
      <c r="C25" s="48">
        <v>62.93</v>
      </c>
      <c r="D25" s="48"/>
      <c r="E25" s="13" t="s">
        <v>189</v>
      </c>
      <c r="F25" s="49" t="s">
        <v>366</v>
      </c>
      <c r="G25" s="71" t="s">
        <v>367</v>
      </c>
      <c r="H25" s="13"/>
      <c r="J25" s="51" t="str">
        <f t="shared" si="1"/>
        <v>G077.SALP</v>
      </c>
      <c r="K25" s="52" t="str">
        <f t="shared" si="2"/>
        <v>N Grigg-TheMelbourneHot-Diggeers</v>
      </c>
      <c r="L25" s="52" t="s">
        <v>32</v>
      </c>
      <c r="M25" s="53">
        <f t="shared" si="3"/>
        <v>62.93</v>
      </c>
      <c r="N25" s="54" t="s">
        <v>33</v>
      </c>
      <c r="O25" s="44"/>
      <c r="P25" s="54"/>
      <c r="R25" s="21">
        <f t="shared" si="4"/>
        <v>32</v>
      </c>
    </row>
    <row r="26" spans="1:18" ht="15.75" thickBot="1" x14ac:dyDescent="0.25">
      <c r="A26" s="47">
        <v>45876</v>
      </c>
      <c r="B26" s="47" t="s">
        <v>190</v>
      </c>
      <c r="C26" s="48">
        <v>51.14</v>
      </c>
      <c r="D26" s="48"/>
      <c r="E26" s="13" t="s">
        <v>170</v>
      </c>
      <c r="F26" s="49" t="s">
        <v>366</v>
      </c>
      <c r="G26" s="71" t="s">
        <v>367</v>
      </c>
      <c r="H26" s="13"/>
      <c r="J26" s="51" t="str">
        <f t="shared" si="1"/>
        <v>G077.SALP</v>
      </c>
      <c r="K26" s="52" t="str">
        <f t="shared" si="2"/>
        <v>N Grigg-Live Payments B-Travel NC</v>
      </c>
      <c r="L26" s="52" t="s">
        <v>32</v>
      </c>
      <c r="M26" s="53">
        <f t="shared" si="3"/>
        <v>51.14</v>
      </c>
      <c r="N26" s="54" t="s">
        <v>33</v>
      </c>
      <c r="O26" s="44"/>
      <c r="P26" s="54"/>
      <c r="R26" s="21">
        <f t="shared" si="4"/>
        <v>33</v>
      </c>
    </row>
    <row r="27" spans="1:18" ht="15.75" thickBot="1" x14ac:dyDescent="0.25">
      <c r="A27" s="47">
        <v>45875</v>
      </c>
      <c r="B27" s="47" t="s">
        <v>191</v>
      </c>
      <c r="C27" s="48">
        <v>12.29</v>
      </c>
      <c r="D27" s="48"/>
      <c r="E27" s="13" t="s">
        <v>170</v>
      </c>
      <c r="F27" s="49" t="s">
        <v>366</v>
      </c>
      <c r="G27" s="71" t="s">
        <v>367</v>
      </c>
      <c r="H27" s="13"/>
      <c r="J27" s="51" t="str">
        <f t="shared" si="1"/>
        <v>G077.SALP</v>
      </c>
      <c r="K27" s="52" t="str">
        <f t="shared" si="2"/>
        <v>N Grigg-TWIN CITY 9021 -Travel NC</v>
      </c>
      <c r="L27" s="52" t="s">
        <v>32</v>
      </c>
      <c r="M27" s="53">
        <f t="shared" si="3"/>
        <v>12.29</v>
      </c>
      <c r="N27" s="54" t="s">
        <v>33</v>
      </c>
      <c r="O27" s="44"/>
      <c r="P27" s="54"/>
      <c r="R27" s="21">
        <f t="shared" si="4"/>
        <v>33</v>
      </c>
    </row>
    <row r="28" spans="1:18" ht="15.75" thickBot="1" x14ac:dyDescent="0.25">
      <c r="A28" s="47">
        <v>45875</v>
      </c>
      <c r="B28" s="47" t="s">
        <v>192</v>
      </c>
      <c r="C28" s="48">
        <v>47.5</v>
      </c>
      <c r="D28" s="48"/>
      <c r="E28" s="13" t="s">
        <v>193</v>
      </c>
      <c r="F28" s="49" t="s">
        <v>366</v>
      </c>
      <c r="G28" s="71" t="s">
        <v>367</v>
      </c>
      <c r="H28" s="13"/>
      <c r="J28" s="51" t="str">
        <f t="shared" si="1"/>
        <v>G077.SALP</v>
      </c>
      <c r="K28" s="52" t="str">
        <f t="shared" si="2"/>
        <v>N Grigg-STAR AND GARTER-Diggers</v>
      </c>
      <c r="L28" s="52" t="s">
        <v>32</v>
      </c>
      <c r="M28" s="53">
        <f t="shared" si="3"/>
        <v>47.5</v>
      </c>
      <c r="N28" s="54" t="s">
        <v>33</v>
      </c>
      <c r="O28" s="44"/>
      <c r="P28" s="54"/>
      <c r="R28" s="21">
        <f t="shared" si="4"/>
        <v>31</v>
      </c>
    </row>
    <row r="29" spans="1:18" ht="15.75" thickBot="1" x14ac:dyDescent="0.25">
      <c r="A29" s="47">
        <v>45875</v>
      </c>
      <c r="B29" s="47" t="s">
        <v>192</v>
      </c>
      <c r="C29" s="48">
        <v>23.5</v>
      </c>
      <c r="D29" s="48"/>
      <c r="E29" s="13" t="s">
        <v>193</v>
      </c>
      <c r="F29" s="49" t="s">
        <v>366</v>
      </c>
      <c r="G29" s="71" t="s">
        <v>367</v>
      </c>
      <c r="H29" s="13"/>
      <c r="J29" s="51" t="str">
        <f t="shared" si="1"/>
        <v>G077.SALP</v>
      </c>
      <c r="K29" s="52" t="str">
        <f t="shared" si="2"/>
        <v>N Grigg-STAR AND GARTER-Diggers</v>
      </c>
      <c r="L29" s="52" t="s">
        <v>32</v>
      </c>
      <c r="M29" s="53">
        <f t="shared" si="3"/>
        <v>23.5</v>
      </c>
      <c r="N29" s="54" t="s">
        <v>33</v>
      </c>
      <c r="O29" s="44"/>
      <c r="P29" s="54"/>
      <c r="R29" s="21">
        <f t="shared" si="4"/>
        <v>31</v>
      </c>
    </row>
    <row r="30" spans="1:18" ht="15.75" thickBot="1" x14ac:dyDescent="0.25">
      <c r="A30" s="47">
        <v>45875</v>
      </c>
      <c r="B30" s="47" t="s">
        <v>54</v>
      </c>
      <c r="C30" s="48">
        <v>45.5</v>
      </c>
      <c r="D30" s="48"/>
      <c r="E30" s="13" t="s">
        <v>193</v>
      </c>
      <c r="F30" s="49" t="s">
        <v>366</v>
      </c>
      <c r="G30" s="71" t="s">
        <v>367</v>
      </c>
      <c r="H30" s="13"/>
      <c r="J30" s="51" t="str">
        <f t="shared" si="1"/>
        <v>G077.SALP</v>
      </c>
      <c r="K30" s="52" t="str">
        <f t="shared" si="2"/>
        <v>N Grigg-PALACE HOTEL KA-Diggers</v>
      </c>
      <c r="L30" s="52" t="s">
        <v>32</v>
      </c>
      <c r="M30" s="53">
        <f t="shared" si="3"/>
        <v>45.5</v>
      </c>
      <c r="N30" s="54" t="s">
        <v>33</v>
      </c>
      <c r="O30" s="44"/>
      <c r="P30" s="54"/>
      <c r="R30" s="21">
        <f t="shared" si="4"/>
        <v>31</v>
      </c>
    </row>
    <row r="31" spans="1:18" ht="15.75" thickBot="1" x14ac:dyDescent="0.25">
      <c r="A31" s="47">
        <v>45875</v>
      </c>
      <c r="B31" s="47" t="s">
        <v>191</v>
      </c>
      <c r="C31" s="48">
        <v>16.170000000000002</v>
      </c>
      <c r="D31" s="48"/>
      <c r="E31" s="13" t="s">
        <v>170</v>
      </c>
      <c r="F31" s="49" t="s">
        <v>366</v>
      </c>
      <c r="G31" s="71" t="s">
        <v>367</v>
      </c>
      <c r="H31" s="13"/>
      <c r="J31" s="51" t="str">
        <f t="shared" si="1"/>
        <v>G077.SALP</v>
      </c>
      <c r="K31" s="52" t="str">
        <f t="shared" si="2"/>
        <v>N Grigg-TWIN CITY 9021 -Travel NC</v>
      </c>
      <c r="L31" s="52" t="s">
        <v>32</v>
      </c>
      <c r="M31" s="53">
        <f t="shared" si="3"/>
        <v>16.170000000000002</v>
      </c>
      <c r="N31" s="54" t="s">
        <v>33</v>
      </c>
      <c r="O31" s="44"/>
      <c r="P31" s="54"/>
      <c r="R31" s="21">
        <f t="shared" si="4"/>
        <v>33</v>
      </c>
    </row>
    <row r="32" spans="1:18" ht="15.75" thickBot="1" x14ac:dyDescent="0.25">
      <c r="A32" s="47">
        <v>45875</v>
      </c>
      <c r="B32" s="47" t="s">
        <v>190</v>
      </c>
      <c r="C32" s="48">
        <v>14.17</v>
      </c>
      <c r="D32" s="48"/>
      <c r="E32" s="13" t="s">
        <v>193</v>
      </c>
      <c r="F32" s="49" t="s">
        <v>366</v>
      </c>
      <c r="G32" s="71" t="s">
        <v>367</v>
      </c>
      <c r="H32" s="13"/>
      <c r="J32" s="51" t="str">
        <f t="shared" si="1"/>
        <v>G077.SALP</v>
      </c>
      <c r="K32" s="52" t="str">
        <f t="shared" si="2"/>
        <v>N Grigg-Live Payments B-Diggers</v>
      </c>
      <c r="L32" s="52" t="s">
        <v>32</v>
      </c>
      <c r="M32" s="53">
        <f t="shared" si="3"/>
        <v>14.17</v>
      </c>
      <c r="N32" s="54" t="s">
        <v>33</v>
      </c>
      <c r="O32" s="44"/>
      <c r="P32" s="54"/>
      <c r="R32" s="21">
        <f t="shared" si="4"/>
        <v>31</v>
      </c>
    </row>
    <row r="33" spans="1:18" ht="15.75" thickBot="1" x14ac:dyDescent="0.25">
      <c r="A33" s="47">
        <v>45874</v>
      </c>
      <c r="B33" s="47" t="s">
        <v>56</v>
      </c>
      <c r="C33" s="48">
        <v>39.590000000000003</v>
      </c>
      <c r="D33" s="48"/>
      <c r="E33" s="13" t="s">
        <v>193</v>
      </c>
      <c r="F33" s="49" t="s">
        <v>366</v>
      </c>
      <c r="G33" s="71" t="s">
        <v>367</v>
      </c>
      <c r="H33" s="13"/>
      <c r="J33" s="51" t="str">
        <f t="shared" si="1"/>
        <v>G077.SALP</v>
      </c>
      <c r="K33" s="52" t="str">
        <f t="shared" si="2"/>
        <v>N Grigg-Exchange Hotel -Diggers</v>
      </c>
      <c r="L33" s="52" t="s">
        <v>32</v>
      </c>
      <c r="M33" s="53">
        <f t="shared" si="3"/>
        <v>39.590000000000003</v>
      </c>
      <c r="N33" s="54" t="s">
        <v>33</v>
      </c>
      <c r="O33" s="44"/>
      <c r="P33" s="54"/>
      <c r="R33" s="21">
        <f t="shared" si="4"/>
        <v>31</v>
      </c>
    </row>
    <row r="34" spans="1:18" ht="15.75" thickBot="1" x14ac:dyDescent="0.25">
      <c r="A34" s="47">
        <v>45874</v>
      </c>
      <c r="B34" s="47" t="s">
        <v>56</v>
      </c>
      <c r="C34" s="48">
        <v>53.8</v>
      </c>
      <c r="D34" s="48"/>
      <c r="E34" s="13" t="s">
        <v>193</v>
      </c>
      <c r="F34" s="49" t="s">
        <v>366</v>
      </c>
      <c r="G34" s="71" t="s">
        <v>367</v>
      </c>
      <c r="H34" s="13"/>
      <c r="J34" s="51" t="str">
        <f t="shared" si="1"/>
        <v>G077.SALP</v>
      </c>
      <c r="K34" s="52" t="str">
        <f t="shared" si="2"/>
        <v>N Grigg-Exchange Hotel -Diggers</v>
      </c>
      <c r="L34" s="52" t="s">
        <v>32</v>
      </c>
      <c r="M34" s="53">
        <f t="shared" si="3"/>
        <v>53.8</v>
      </c>
      <c r="N34" s="54" t="s">
        <v>33</v>
      </c>
      <c r="O34" s="44"/>
      <c r="P34" s="54"/>
      <c r="R34" s="21">
        <f t="shared" si="4"/>
        <v>31</v>
      </c>
    </row>
    <row r="35" spans="1:18" ht="15.75" thickBot="1" x14ac:dyDescent="0.25">
      <c r="A35" s="47">
        <v>45874</v>
      </c>
      <c r="B35" s="47" t="s">
        <v>54</v>
      </c>
      <c r="C35" s="48">
        <v>42.46</v>
      </c>
      <c r="D35" s="48"/>
      <c r="E35" s="13" t="s">
        <v>193</v>
      </c>
      <c r="F35" s="49" t="s">
        <v>366</v>
      </c>
      <c r="G35" s="71" t="s">
        <v>367</v>
      </c>
      <c r="H35" s="13"/>
      <c r="J35" s="51" t="str">
        <f t="shared" si="1"/>
        <v>G077.SALP</v>
      </c>
      <c r="K35" s="52" t="str">
        <f t="shared" si="2"/>
        <v>N Grigg-PALACE HOTEL KA-Diggers</v>
      </c>
      <c r="L35" s="52" t="s">
        <v>32</v>
      </c>
      <c r="M35" s="53">
        <f t="shared" si="3"/>
        <v>42.46</v>
      </c>
      <c r="N35" s="54" t="s">
        <v>33</v>
      </c>
      <c r="O35" s="44"/>
      <c r="P35" s="54"/>
      <c r="R35" s="21">
        <f t="shared" si="4"/>
        <v>31</v>
      </c>
    </row>
    <row r="36" spans="1:18" ht="15.75" thickBot="1" x14ac:dyDescent="0.25">
      <c r="A36" s="47">
        <v>45874</v>
      </c>
      <c r="B36" s="47" t="s">
        <v>56</v>
      </c>
      <c r="C36" s="48">
        <v>30.45</v>
      </c>
      <c r="D36" s="48"/>
      <c r="E36" s="13" t="s">
        <v>193</v>
      </c>
      <c r="F36" s="49" t="s">
        <v>366</v>
      </c>
      <c r="G36" s="71" t="s">
        <v>367</v>
      </c>
      <c r="H36" s="13"/>
      <c r="J36" s="51" t="str">
        <f t="shared" si="1"/>
        <v>G077.SALP</v>
      </c>
      <c r="K36" s="52" t="str">
        <f t="shared" si="2"/>
        <v>N Grigg-Exchange Hotel -Diggers</v>
      </c>
      <c r="L36" s="52" t="s">
        <v>32</v>
      </c>
      <c r="M36" s="53">
        <f t="shared" si="3"/>
        <v>30.45</v>
      </c>
      <c r="N36" s="54" t="s">
        <v>33</v>
      </c>
      <c r="O36" s="44"/>
      <c r="P36" s="54"/>
      <c r="R36" s="21">
        <f t="shared" si="4"/>
        <v>31</v>
      </c>
    </row>
    <row r="37" spans="1:18" ht="15.75" thickBot="1" x14ac:dyDescent="0.25">
      <c r="A37" s="47">
        <v>45874</v>
      </c>
      <c r="B37" s="47" t="s">
        <v>194</v>
      </c>
      <c r="C37" s="48">
        <v>11.97</v>
      </c>
      <c r="D37" s="48"/>
      <c r="E37" s="13" t="s">
        <v>170</v>
      </c>
      <c r="F37" s="49" t="s">
        <v>366</v>
      </c>
      <c r="G37" s="71" t="s">
        <v>367</v>
      </c>
      <c r="H37" s="13"/>
      <c r="J37" s="51" t="str">
        <f t="shared" si="1"/>
        <v>G077.SALP</v>
      </c>
      <c r="K37" s="52" t="str">
        <f t="shared" si="2"/>
        <v>N Grigg-GM TAXIPAY MASC-Travel NC</v>
      </c>
      <c r="L37" s="52" t="s">
        <v>32</v>
      </c>
      <c r="M37" s="53">
        <f t="shared" si="3"/>
        <v>11.97</v>
      </c>
      <c r="N37" s="54" t="s">
        <v>33</v>
      </c>
      <c r="O37" s="44"/>
      <c r="P37" s="54"/>
      <c r="R37" s="21">
        <f t="shared" si="4"/>
        <v>33</v>
      </c>
    </row>
    <row r="38" spans="1:18" ht="15.75" thickBot="1" x14ac:dyDescent="0.25">
      <c r="A38" s="47">
        <v>45873</v>
      </c>
      <c r="B38" s="47" t="s">
        <v>191</v>
      </c>
      <c r="C38" s="48">
        <v>15.65</v>
      </c>
      <c r="D38" s="48"/>
      <c r="E38" s="13" t="s">
        <v>170</v>
      </c>
      <c r="F38" s="49" t="s">
        <v>366</v>
      </c>
      <c r="G38" s="71" t="s">
        <v>367</v>
      </c>
      <c r="H38" s="13"/>
      <c r="J38" s="51" t="str">
        <f t="shared" si="1"/>
        <v>G077.SALP</v>
      </c>
      <c r="K38" s="52" t="str">
        <f t="shared" si="2"/>
        <v>N Grigg-TWIN CITY 9021 -Travel NC</v>
      </c>
      <c r="L38" s="52" t="s">
        <v>32</v>
      </c>
      <c r="M38" s="53">
        <f t="shared" si="3"/>
        <v>15.65</v>
      </c>
      <c r="N38" s="54" t="s">
        <v>33</v>
      </c>
      <c r="O38" s="44"/>
      <c r="P38" s="54"/>
      <c r="R38" s="21">
        <f t="shared" si="4"/>
        <v>33</v>
      </c>
    </row>
    <row r="39" spans="1:18" ht="15.75" thickBot="1" x14ac:dyDescent="0.25">
      <c r="A39" s="47">
        <v>45873</v>
      </c>
      <c r="B39" s="47" t="s">
        <v>56</v>
      </c>
      <c r="C39" s="48">
        <v>76.13</v>
      </c>
      <c r="D39" s="48"/>
      <c r="E39" s="13" t="s">
        <v>195</v>
      </c>
      <c r="F39" s="49" t="s">
        <v>366</v>
      </c>
      <c r="G39" s="71" t="s">
        <v>367</v>
      </c>
      <c r="H39" s="13"/>
      <c r="J39" s="51" t="str">
        <f t="shared" si="1"/>
        <v>G077.SALP</v>
      </c>
      <c r="K39" s="52" t="str">
        <f t="shared" si="2"/>
        <v xml:space="preserve">N Grigg-Exchange Hotel -Diggers </v>
      </c>
      <c r="L39" s="52" t="s">
        <v>32</v>
      </c>
      <c r="M39" s="53">
        <f t="shared" si="3"/>
        <v>76.13</v>
      </c>
      <c r="N39" s="54" t="s">
        <v>33</v>
      </c>
      <c r="O39" s="44"/>
      <c r="P39" s="54"/>
      <c r="R39" s="21">
        <f t="shared" si="4"/>
        <v>32</v>
      </c>
    </row>
    <row r="40" spans="1:18" ht="15.75" thickBot="1" x14ac:dyDescent="0.25">
      <c r="A40" s="47">
        <v>45873</v>
      </c>
      <c r="B40" s="47" t="s">
        <v>56</v>
      </c>
      <c r="C40" s="48">
        <v>51.77</v>
      </c>
      <c r="D40" s="48"/>
      <c r="E40" s="13" t="s">
        <v>195</v>
      </c>
      <c r="F40" s="49" t="s">
        <v>366</v>
      </c>
      <c r="G40" s="71" t="s">
        <v>367</v>
      </c>
      <c r="H40" s="13"/>
      <c r="J40" s="51" t="str">
        <f t="shared" si="1"/>
        <v>G077.SALP</v>
      </c>
      <c r="K40" s="52" t="str">
        <f t="shared" si="2"/>
        <v xml:space="preserve">N Grigg-Exchange Hotel -Diggers </v>
      </c>
      <c r="L40" s="52" t="s">
        <v>32</v>
      </c>
      <c r="M40" s="53">
        <f t="shared" si="3"/>
        <v>51.77</v>
      </c>
      <c r="N40" s="54" t="s">
        <v>33</v>
      </c>
      <c r="O40" s="44"/>
      <c r="P40" s="54"/>
      <c r="R40" s="21">
        <f t="shared" si="4"/>
        <v>32</v>
      </c>
    </row>
    <row r="41" spans="1:18" ht="15.75" thickBot="1" x14ac:dyDescent="0.25">
      <c r="A41" s="47">
        <v>45872</v>
      </c>
      <c r="B41" s="47" t="s">
        <v>196</v>
      </c>
      <c r="C41" s="48">
        <v>501.45</v>
      </c>
      <c r="D41" s="48"/>
      <c r="E41" s="13" t="s">
        <v>197</v>
      </c>
      <c r="F41" s="49" t="s">
        <v>366</v>
      </c>
      <c r="G41" s="71" t="s">
        <v>367</v>
      </c>
      <c r="H41" s="13"/>
      <c r="J41" s="51" t="str">
        <f t="shared" si="1"/>
        <v>G077.SALP</v>
      </c>
      <c r="K41" s="52" t="str">
        <f t="shared" si="2"/>
        <v>N Grigg-Holiday Inn Per-Accom - perth Diggers NG/BW</v>
      </c>
      <c r="L41" s="52" t="s">
        <v>32</v>
      </c>
      <c r="M41" s="53">
        <f t="shared" si="3"/>
        <v>501.45</v>
      </c>
      <c r="N41" s="54" t="s">
        <v>33</v>
      </c>
      <c r="O41" s="44"/>
      <c r="P41" s="54"/>
      <c r="R41" s="21">
        <f t="shared" si="4"/>
        <v>51</v>
      </c>
    </row>
    <row r="42" spans="1:18" ht="15.75" thickBot="1" x14ac:dyDescent="0.25">
      <c r="A42" s="47">
        <v>45872</v>
      </c>
      <c r="B42" s="47" t="s">
        <v>196</v>
      </c>
      <c r="C42" s="48">
        <v>501.45</v>
      </c>
      <c r="D42" s="48"/>
      <c r="E42" s="13" t="s">
        <v>197</v>
      </c>
      <c r="F42" s="49" t="s">
        <v>366</v>
      </c>
      <c r="G42" s="71" t="s">
        <v>367</v>
      </c>
      <c r="H42" s="13"/>
      <c r="J42" s="51" t="str">
        <f t="shared" si="1"/>
        <v>G077.SALP</v>
      </c>
      <c r="K42" s="52" t="str">
        <f t="shared" si="2"/>
        <v>N Grigg-Holiday Inn Per-Accom - perth Diggers NG/BW</v>
      </c>
      <c r="L42" s="52" t="s">
        <v>32</v>
      </c>
      <c r="M42" s="53">
        <f t="shared" si="3"/>
        <v>501.45</v>
      </c>
      <c r="N42" s="54" t="s">
        <v>33</v>
      </c>
      <c r="O42" s="44"/>
      <c r="P42" s="54"/>
      <c r="R42" s="21">
        <f t="shared" si="4"/>
        <v>51</v>
      </c>
    </row>
    <row r="43" spans="1:18" ht="15.75" thickBot="1" x14ac:dyDescent="0.25">
      <c r="A43" s="47">
        <v>45872</v>
      </c>
      <c r="B43" s="47" t="s">
        <v>192</v>
      </c>
      <c r="C43" s="48">
        <v>54</v>
      </c>
      <c r="D43" s="48"/>
      <c r="E43" s="13" t="s">
        <v>195</v>
      </c>
      <c r="F43" s="49" t="s">
        <v>366</v>
      </c>
      <c r="G43" s="71" t="s">
        <v>367</v>
      </c>
      <c r="H43" s="13"/>
      <c r="J43" s="51" t="str">
        <f t="shared" si="1"/>
        <v>G077.SALP</v>
      </c>
      <c r="K43" s="52" t="str">
        <f t="shared" si="2"/>
        <v xml:space="preserve">N Grigg-STAR AND GARTER-Diggers </v>
      </c>
      <c r="L43" s="52" t="s">
        <v>32</v>
      </c>
      <c r="M43" s="53">
        <f t="shared" si="3"/>
        <v>54</v>
      </c>
      <c r="N43" s="54" t="s">
        <v>33</v>
      </c>
      <c r="O43" s="44"/>
      <c r="P43" s="54"/>
      <c r="R43" s="21">
        <f t="shared" si="4"/>
        <v>32</v>
      </c>
    </row>
    <row r="44" spans="1:18" ht="15.75" thickBot="1" x14ac:dyDescent="0.25">
      <c r="A44" s="47">
        <v>45872</v>
      </c>
      <c r="B44" s="47" t="s">
        <v>192</v>
      </c>
      <c r="C44" s="48">
        <v>54.7</v>
      </c>
      <c r="D44" s="48"/>
      <c r="E44" s="13" t="s">
        <v>195</v>
      </c>
      <c r="F44" s="49" t="s">
        <v>366</v>
      </c>
      <c r="G44" s="71" t="s">
        <v>367</v>
      </c>
      <c r="H44" s="13"/>
      <c r="J44" s="51" t="str">
        <f t="shared" si="1"/>
        <v>G077.SALP</v>
      </c>
      <c r="K44" s="52" t="str">
        <f t="shared" si="2"/>
        <v xml:space="preserve">N Grigg-STAR AND GARTER-Diggers </v>
      </c>
      <c r="L44" s="52" t="s">
        <v>32</v>
      </c>
      <c r="M44" s="53">
        <f t="shared" si="3"/>
        <v>54.7</v>
      </c>
      <c r="N44" s="54" t="s">
        <v>33</v>
      </c>
      <c r="O44" s="44"/>
      <c r="P44" s="54"/>
      <c r="R44" s="21">
        <f t="shared" si="4"/>
        <v>32</v>
      </c>
    </row>
    <row r="45" spans="1:18" ht="15.75" thickBot="1" x14ac:dyDescent="0.25">
      <c r="A45" s="47">
        <v>45872</v>
      </c>
      <c r="B45" s="47" t="s">
        <v>198</v>
      </c>
      <c r="C45" s="48">
        <v>61.05</v>
      </c>
      <c r="D45" s="48"/>
      <c r="E45" s="13" t="s">
        <v>199</v>
      </c>
      <c r="F45" s="49" t="s">
        <v>366</v>
      </c>
      <c r="G45" s="71" t="s">
        <v>367</v>
      </c>
      <c r="H45" s="13"/>
      <c r="J45" s="51" t="str">
        <f t="shared" si="1"/>
        <v>G077.SALP</v>
      </c>
      <c r="K45" s="52" t="str">
        <f t="shared" si="2"/>
        <v>N Grigg-Subway Merredin-Dinner Perth - Diggers Trip NG/BW/TB</v>
      </c>
      <c r="L45" s="52" t="s">
        <v>32</v>
      </c>
      <c r="M45" s="53">
        <f t="shared" si="3"/>
        <v>61.05</v>
      </c>
      <c r="N45" s="54" t="s">
        <v>33</v>
      </c>
      <c r="O45" s="44"/>
      <c r="P45" s="54"/>
      <c r="R45" s="21">
        <f t="shared" si="4"/>
        <v>60</v>
      </c>
    </row>
    <row r="46" spans="1:18" ht="15.75" thickBot="1" x14ac:dyDescent="0.25">
      <c r="A46" s="47">
        <v>45872</v>
      </c>
      <c r="B46" s="47" t="s">
        <v>200</v>
      </c>
      <c r="C46" s="48">
        <v>133.85</v>
      </c>
      <c r="D46" s="48"/>
      <c r="E46" s="13" t="s">
        <v>199</v>
      </c>
      <c r="F46" s="49" t="s">
        <v>366</v>
      </c>
      <c r="G46" s="71" t="s">
        <v>367</v>
      </c>
      <c r="H46" s="13"/>
      <c r="J46" s="51" t="str">
        <f t="shared" si="1"/>
        <v>G077.SALP</v>
      </c>
      <c r="K46" s="52" t="str">
        <f t="shared" si="2"/>
        <v>N Grigg-NovotelPERMurra-Dinner Perth - Diggers Trip NG/BW/TB</v>
      </c>
      <c r="L46" s="52" t="s">
        <v>32</v>
      </c>
      <c r="M46" s="53">
        <f t="shared" si="3"/>
        <v>133.85</v>
      </c>
      <c r="N46" s="54" t="s">
        <v>33</v>
      </c>
      <c r="O46" s="44"/>
      <c r="P46" s="54"/>
      <c r="R46" s="21">
        <f t="shared" si="4"/>
        <v>60</v>
      </c>
    </row>
    <row r="47" spans="1:18" ht="15.75" thickBot="1" x14ac:dyDescent="0.25">
      <c r="A47" s="47">
        <v>45872</v>
      </c>
      <c r="B47" s="47" t="s">
        <v>201</v>
      </c>
      <c r="C47" s="48">
        <v>54.95</v>
      </c>
      <c r="D47" s="48"/>
      <c r="E47" s="13" t="s">
        <v>195</v>
      </c>
      <c r="F47" s="49" t="s">
        <v>366</v>
      </c>
      <c r="G47" s="71" t="s">
        <v>367</v>
      </c>
      <c r="H47" s="13"/>
      <c r="J47" s="51" t="str">
        <f t="shared" si="1"/>
        <v>G077.SALP</v>
      </c>
      <c r="K47" s="52" t="str">
        <f t="shared" si="2"/>
        <v xml:space="preserve">N Grigg-Kalgoorlie Phar-Diggers </v>
      </c>
      <c r="L47" s="52" t="s">
        <v>32</v>
      </c>
      <c r="M47" s="53">
        <f t="shared" si="3"/>
        <v>54.95</v>
      </c>
      <c r="N47" s="54" t="s">
        <v>33</v>
      </c>
      <c r="O47" s="44"/>
      <c r="P47" s="54"/>
      <c r="R47" s="21">
        <f t="shared" si="4"/>
        <v>32</v>
      </c>
    </row>
    <row r="48" spans="1:18" ht="15.75" thickBot="1" x14ac:dyDescent="0.25">
      <c r="A48" s="47">
        <v>45871</v>
      </c>
      <c r="B48" s="47" t="s">
        <v>202</v>
      </c>
      <c r="C48" s="48">
        <v>25.4</v>
      </c>
      <c r="D48" s="48"/>
      <c r="E48" s="13" t="s">
        <v>203</v>
      </c>
      <c r="F48" s="49" t="s">
        <v>366</v>
      </c>
      <c r="G48" s="71" t="s">
        <v>367</v>
      </c>
      <c r="H48" s="13"/>
      <c r="J48" s="51" t="str">
        <f t="shared" si="1"/>
        <v>G077.SALP</v>
      </c>
      <c r="K48" s="52" t="str">
        <f t="shared" si="2"/>
        <v>N Grigg-ALH VENUES     -Metallurgist Day - Perth</v>
      </c>
      <c r="L48" s="52" t="s">
        <v>32</v>
      </c>
      <c r="M48" s="53">
        <f t="shared" si="3"/>
        <v>25.4</v>
      </c>
      <c r="N48" s="54" t="s">
        <v>33</v>
      </c>
      <c r="O48" s="44"/>
      <c r="P48" s="54"/>
      <c r="R48" s="21">
        <f t="shared" si="4"/>
        <v>48</v>
      </c>
    </row>
    <row r="49" spans="1:18" ht="15.75" thickBot="1" x14ac:dyDescent="0.25">
      <c r="A49" s="47">
        <v>45871</v>
      </c>
      <c r="B49" s="47" t="s">
        <v>202</v>
      </c>
      <c r="C49" s="48">
        <v>25.4</v>
      </c>
      <c r="D49" s="48"/>
      <c r="E49" s="13" t="s">
        <v>203</v>
      </c>
      <c r="F49" s="49" t="s">
        <v>366</v>
      </c>
      <c r="G49" s="71" t="s">
        <v>367</v>
      </c>
      <c r="H49" s="13"/>
      <c r="J49" s="51" t="str">
        <f t="shared" si="1"/>
        <v>G077.SALP</v>
      </c>
      <c r="K49" s="52" t="str">
        <f t="shared" si="2"/>
        <v>N Grigg-ALH VENUES     -Metallurgist Day - Perth</v>
      </c>
      <c r="L49" s="52" t="s">
        <v>32</v>
      </c>
      <c r="M49" s="53">
        <f t="shared" si="3"/>
        <v>25.4</v>
      </c>
      <c r="N49" s="54" t="s">
        <v>33</v>
      </c>
      <c r="O49" s="44"/>
      <c r="P49" s="54"/>
      <c r="R49" s="21">
        <f t="shared" si="4"/>
        <v>48</v>
      </c>
    </row>
    <row r="50" spans="1:18" ht="15.75" thickBot="1" x14ac:dyDescent="0.25">
      <c r="A50" s="47">
        <v>45871</v>
      </c>
      <c r="B50" s="47" t="s">
        <v>202</v>
      </c>
      <c r="C50" s="48">
        <v>46.1</v>
      </c>
      <c r="D50" s="48"/>
      <c r="E50" s="13" t="s">
        <v>203</v>
      </c>
      <c r="F50" s="49" t="s">
        <v>366</v>
      </c>
      <c r="G50" s="71" t="s">
        <v>367</v>
      </c>
      <c r="H50" s="13"/>
      <c r="J50" s="51" t="str">
        <f t="shared" si="1"/>
        <v>G077.SALP</v>
      </c>
      <c r="K50" s="52" t="str">
        <f t="shared" si="2"/>
        <v>N Grigg-ALH VENUES     -Metallurgist Day - Perth</v>
      </c>
      <c r="L50" s="52" t="s">
        <v>32</v>
      </c>
      <c r="M50" s="53">
        <f t="shared" si="3"/>
        <v>46.1</v>
      </c>
      <c r="N50" s="54" t="s">
        <v>33</v>
      </c>
      <c r="O50" s="44"/>
      <c r="P50" s="54"/>
      <c r="R50" s="21">
        <f t="shared" si="4"/>
        <v>48</v>
      </c>
    </row>
    <row r="51" spans="1:18" ht="15.75" thickBot="1" x14ac:dyDescent="0.25">
      <c r="A51" s="47">
        <v>45871</v>
      </c>
      <c r="B51" s="47" t="s">
        <v>202</v>
      </c>
      <c r="C51" s="48">
        <v>76</v>
      </c>
      <c r="D51" s="48"/>
      <c r="E51" s="13" t="s">
        <v>203</v>
      </c>
      <c r="F51" s="49" t="s">
        <v>366</v>
      </c>
      <c r="G51" s="71" t="s">
        <v>367</v>
      </c>
      <c r="H51" s="13"/>
      <c r="J51" s="51" t="str">
        <f t="shared" si="1"/>
        <v>G077.SALP</v>
      </c>
      <c r="K51" s="52" t="str">
        <f t="shared" si="2"/>
        <v>N Grigg-ALH VENUES     -Metallurgist Day - Perth</v>
      </c>
      <c r="L51" s="52" t="s">
        <v>32</v>
      </c>
      <c r="M51" s="53">
        <f t="shared" si="3"/>
        <v>76</v>
      </c>
      <c r="N51" s="54" t="s">
        <v>33</v>
      </c>
      <c r="O51" s="44"/>
      <c r="P51" s="54"/>
      <c r="R51" s="21">
        <f t="shared" si="4"/>
        <v>48</v>
      </c>
    </row>
    <row r="52" spans="1:18" ht="15.75" thickBot="1" x14ac:dyDescent="0.25">
      <c r="A52" s="47">
        <v>45871</v>
      </c>
      <c r="B52" s="47" t="s">
        <v>202</v>
      </c>
      <c r="C52" s="48">
        <v>31.1</v>
      </c>
      <c r="D52" s="48"/>
      <c r="E52" s="13" t="s">
        <v>203</v>
      </c>
      <c r="F52" s="49" t="s">
        <v>366</v>
      </c>
      <c r="G52" s="71" t="s">
        <v>367</v>
      </c>
      <c r="H52" s="13"/>
      <c r="J52" s="51" t="str">
        <f t="shared" si="1"/>
        <v>G077.SALP</v>
      </c>
      <c r="K52" s="52" t="str">
        <f t="shared" si="2"/>
        <v>N Grigg-ALH VENUES     -Metallurgist Day - Perth</v>
      </c>
      <c r="L52" s="52" t="s">
        <v>32</v>
      </c>
      <c r="M52" s="53">
        <f t="shared" si="3"/>
        <v>31.1</v>
      </c>
      <c r="N52" s="54" t="s">
        <v>33</v>
      </c>
      <c r="O52" s="44"/>
      <c r="P52" s="54"/>
      <c r="R52" s="21">
        <f t="shared" si="4"/>
        <v>48</v>
      </c>
    </row>
    <row r="53" spans="1:18" ht="15.75" thickBot="1" x14ac:dyDescent="0.25">
      <c r="A53" s="47">
        <v>45871</v>
      </c>
      <c r="B53" s="47" t="s">
        <v>202</v>
      </c>
      <c r="C53" s="48">
        <v>15</v>
      </c>
      <c r="D53" s="48"/>
      <c r="E53" s="13" t="s">
        <v>203</v>
      </c>
      <c r="F53" s="49" t="s">
        <v>366</v>
      </c>
      <c r="G53" s="71" t="s">
        <v>367</v>
      </c>
      <c r="H53" s="13"/>
      <c r="J53" s="51" t="str">
        <f t="shared" si="1"/>
        <v>G077.SALP</v>
      </c>
      <c r="K53" s="52" t="str">
        <f t="shared" si="2"/>
        <v>N Grigg-ALH VENUES     -Metallurgist Day - Perth</v>
      </c>
      <c r="L53" s="52" t="s">
        <v>32</v>
      </c>
      <c r="M53" s="53">
        <f t="shared" si="3"/>
        <v>15</v>
      </c>
      <c r="N53" s="54" t="s">
        <v>33</v>
      </c>
      <c r="O53" s="44"/>
      <c r="P53" s="54"/>
      <c r="R53" s="21">
        <f t="shared" si="4"/>
        <v>48</v>
      </c>
    </row>
    <row r="54" spans="1:18" ht="15.75" thickBot="1" x14ac:dyDescent="0.25">
      <c r="A54" s="47">
        <v>45871</v>
      </c>
      <c r="B54" s="47" t="s">
        <v>57</v>
      </c>
      <c r="C54" s="48">
        <v>10.82</v>
      </c>
      <c r="D54" s="48"/>
      <c r="E54" s="13" t="s">
        <v>170</v>
      </c>
      <c r="F54" s="49" t="s">
        <v>366</v>
      </c>
      <c r="G54" s="71" t="s">
        <v>367</v>
      </c>
      <c r="H54" s="13"/>
      <c r="J54" s="51" t="str">
        <f t="shared" si="1"/>
        <v>G077.SALP</v>
      </c>
      <c r="K54" s="52" t="str">
        <f t="shared" si="2"/>
        <v>N Grigg-UBER* TRIP SYDN-Travel NC</v>
      </c>
      <c r="L54" s="52" t="s">
        <v>32</v>
      </c>
      <c r="M54" s="53">
        <f t="shared" si="3"/>
        <v>10.82</v>
      </c>
      <c r="N54" s="54" t="s">
        <v>33</v>
      </c>
      <c r="O54" s="44"/>
      <c r="P54" s="54"/>
      <c r="R54" s="21">
        <f t="shared" si="4"/>
        <v>33</v>
      </c>
    </row>
    <row r="55" spans="1:18" ht="15.75" thickBot="1" x14ac:dyDescent="0.25">
      <c r="A55" s="47">
        <v>45870</v>
      </c>
      <c r="B55" s="47" t="s">
        <v>204</v>
      </c>
      <c r="C55" s="48">
        <v>33</v>
      </c>
      <c r="D55" s="48"/>
      <c r="E55" s="13" t="s">
        <v>203</v>
      </c>
      <c r="F55" s="49" t="s">
        <v>366</v>
      </c>
      <c r="G55" s="71" t="s">
        <v>367</v>
      </c>
      <c r="H55" s="13"/>
      <c r="J55" s="51" t="str">
        <f t="shared" si="1"/>
        <v>G077.SALP</v>
      </c>
      <c r="K55" s="52" t="str">
        <f t="shared" si="2"/>
        <v>N Grigg-ALH VENUES     -Metallurgist Day - Perth</v>
      </c>
      <c r="L55" s="52" t="s">
        <v>32</v>
      </c>
      <c r="M55" s="53">
        <f t="shared" si="3"/>
        <v>33</v>
      </c>
      <c r="N55" s="54" t="s">
        <v>33</v>
      </c>
      <c r="O55" s="44"/>
      <c r="P55" s="54"/>
      <c r="R55" s="21">
        <f t="shared" si="4"/>
        <v>48</v>
      </c>
    </row>
    <row r="56" spans="1:18" ht="15.75" thickBot="1" x14ac:dyDescent="0.25">
      <c r="A56" s="47">
        <v>45870</v>
      </c>
      <c r="B56" s="47" t="s">
        <v>190</v>
      </c>
      <c r="C56" s="48">
        <v>27.93</v>
      </c>
      <c r="D56" s="48"/>
      <c r="E56" s="13" t="s">
        <v>170</v>
      </c>
      <c r="F56" s="49" t="s">
        <v>366</v>
      </c>
      <c r="G56" s="71" t="s">
        <v>367</v>
      </c>
      <c r="H56" s="13"/>
      <c r="J56" s="51" t="str">
        <f t="shared" si="1"/>
        <v>G077.SALP</v>
      </c>
      <c r="K56" s="52" t="str">
        <f t="shared" si="2"/>
        <v>N Grigg-Live Payments B-Travel NC</v>
      </c>
      <c r="L56" s="52" t="s">
        <v>32</v>
      </c>
      <c r="M56" s="53">
        <f t="shared" si="3"/>
        <v>27.93</v>
      </c>
      <c r="N56" s="54" t="s">
        <v>33</v>
      </c>
      <c r="O56" s="44"/>
      <c r="P56" s="54"/>
      <c r="R56" s="21">
        <f t="shared" si="4"/>
        <v>33</v>
      </c>
    </row>
    <row r="57" spans="1:18" ht="15.75" thickBot="1" x14ac:dyDescent="0.25">
      <c r="A57" s="47">
        <v>45870</v>
      </c>
      <c r="B57" s="47" t="s">
        <v>205</v>
      </c>
      <c r="C57" s="48">
        <v>42</v>
      </c>
      <c r="D57" s="48"/>
      <c r="E57" s="13" t="s">
        <v>206</v>
      </c>
      <c r="F57" s="49" t="s">
        <v>366</v>
      </c>
      <c r="G57" s="71" t="s">
        <v>367</v>
      </c>
      <c r="H57" s="13"/>
      <c r="J57" s="51" t="str">
        <f t="shared" si="1"/>
        <v>G077.SALP</v>
      </c>
      <c r="K57" s="52" t="str">
        <f t="shared" si="2"/>
        <v>N Grigg-PERTH SOCCER CL-Lyco function</v>
      </c>
      <c r="L57" s="52" t="s">
        <v>32</v>
      </c>
      <c r="M57" s="53">
        <f t="shared" si="3"/>
        <v>42</v>
      </c>
      <c r="N57" s="54" t="s">
        <v>33</v>
      </c>
      <c r="O57" s="44"/>
      <c r="P57" s="54"/>
      <c r="R57" s="21">
        <f t="shared" si="4"/>
        <v>37</v>
      </c>
    </row>
    <row r="58" spans="1:18" ht="15.75" thickBot="1" x14ac:dyDescent="0.25">
      <c r="A58" s="47">
        <v>45870</v>
      </c>
      <c r="B58" s="47" t="s">
        <v>207</v>
      </c>
      <c r="C58" s="48">
        <v>313</v>
      </c>
      <c r="D58" s="48"/>
      <c r="E58" s="13" t="s">
        <v>206</v>
      </c>
      <c r="F58" s="49" t="s">
        <v>366</v>
      </c>
      <c r="G58" s="71" t="s">
        <v>367</v>
      </c>
      <c r="H58" s="13"/>
      <c r="J58" s="51" t="str">
        <f t="shared" si="1"/>
        <v>G077.SALP</v>
      </c>
      <c r="K58" s="52" t="str">
        <f t="shared" si="2"/>
        <v>N Grigg-JAZZLAB BRUNSWI-Lyco function</v>
      </c>
      <c r="L58" s="52" t="s">
        <v>32</v>
      </c>
      <c r="M58" s="53">
        <f t="shared" si="3"/>
        <v>313</v>
      </c>
      <c r="N58" s="54" t="s">
        <v>33</v>
      </c>
      <c r="O58" s="44"/>
      <c r="P58" s="54"/>
      <c r="R58" s="21">
        <f t="shared" si="4"/>
        <v>37</v>
      </c>
    </row>
    <row r="59" spans="1:18" ht="15.75" thickBot="1" x14ac:dyDescent="0.25">
      <c r="A59" s="47">
        <v>45870</v>
      </c>
      <c r="B59" s="47" t="s">
        <v>205</v>
      </c>
      <c r="C59" s="48">
        <v>12</v>
      </c>
      <c r="D59" s="48"/>
      <c r="E59" s="13" t="s">
        <v>206</v>
      </c>
      <c r="F59" s="49" t="s">
        <v>366</v>
      </c>
      <c r="G59" s="71" t="s">
        <v>367</v>
      </c>
      <c r="H59" s="13"/>
      <c r="J59" s="51" t="str">
        <f t="shared" si="1"/>
        <v>G077.SALP</v>
      </c>
      <c r="K59" s="52" t="str">
        <f t="shared" si="2"/>
        <v>N Grigg-PERTH SOCCER CL-Lyco function</v>
      </c>
      <c r="L59" s="52" t="s">
        <v>32</v>
      </c>
      <c r="M59" s="53">
        <f t="shared" si="3"/>
        <v>12</v>
      </c>
      <c r="N59" s="54" t="s">
        <v>33</v>
      </c>
      <c r="O59" s="44"/>
      <c r="P59" s="54"/>
      <c r="R59" s="21">
        <f t="shared" si="4"/>
        <v>37</v>
      </c>
    </row>
    <row r="60" spans="1:18" ht="15.75" thickBot="1" x14ac:dyDescent="0.25">
      <c r="A60" s="47">
        <v>45870</v>
      </c>
      <c r="B60" s="47" t="s">
        <v>205</v>
      </c>
      <c r="C60" s="48">
        <v>60</v>
      </c>
      <c r="D60" s="48"/>
      <c r="E60" s="13" t="s">
        <v>206</v>
      </c>
      <c r="F60" s="49" t="s">
        <v>366</v>
      </c>
      <c r="G60" s="71" t="s">
        <v>367</v>
      </c>
      <c r="H60" s="13"/>
      <c r="J60" s="51" t="str">
        <f t="shared" si="1"/>
        <v>G077.SALP</v>
      </c>
      <c r="K60" s="52" t="str">
        <f t="shared" si="2"/>
        <v>N Grigg-PERTH SOCCER CL-Lyco function</v>
      </c>
      <c r="L60" s="52" t="s">
        <v>32</v>
      </c>
      <c r="M60" s="53">
        <f t="shared" si="3"/>
        <v>60</v>
      </c>
      <c r="N60" s="54" t="s">
        <v>33</v>
      </c>
      <c r="O60" s="44"/>
      <c r="P60" s="54"/>
      <c r="R60" s="21">
        <f t="shared" si="4"/>
        <v>37</v>
      </c>
    </row>
    <row r="61" spans="1:18" ht="15.75" thickBot="1" x14ac:dyDescent="0.25">
      <c r="A61" s="47">
        <v>45870</v>
      </c>
      <c r="B61" s="47" t="s">
        <v>208</v>
      </c>
      <c r="C61" s="48">
        <v>10.09</v>
      </c>
      <c r="D61" s="48"/>
      <c r="E61" s="13" t="s">
        <v>209</v>
      </c>
      <c r="F61" s="49" t="s">
        <v>366</v>
      </c>
      <c r="G61" s="71" t="s">
        <v>367</v>
      </c>
      <c r="H61" s="13"/>
      <c r="J61" s="51" t="str">
        <f t="shared" si="1"/>
        <v>G077.SALP</v>
      </c>
      <c r="K61" s="52" t="str">
        <f t="shared" si="2"/>
        <v xml:space="preserve">N Grigg-WHSMITH MELBOUR-airport </v>
      </c>
      <c r="L61" s="52" t="s">
        <v>32</v>
      </c>
      <c r="M61" s="53">
        <f t="shared" si="3"/>
        <v>10.09</v>
      </c>
      <c r="N61" s="54" t="s">
        <v>33</v>
      </c>
      <c r="O61" s="44"/>
      <c r="P61" s="54"/>
      <c r="R61" s="21">
        <f t="shared" si="4"/>
        <v>32</v>
      </c>
    </row>
    <row r="62" spans="1:18" ht="15.75" thickBot="1" x14ac:dyDescent="0.25">
      <c r="A62" s="47">
        <v>45870</v>
      </c>
      <c r="B62" s="47" t="s">
        <v>210</v>
      </c>
      <c r="C62" s="48">
        <v>67.73</v>
      </c>
      <c r="D62" s="48"/>
      <c r="E62" s="13" t="s">
        <v>170</v>
      </c>
      <c r="F62" s="49" t="s">
        <v>366</v>
      </c>
      <c r="G62" s="71" t="s">
        <v>367</v>
      </c>
      <c r="H62" s="13"/>
      <c r="J62" s="51" t="str">
        <f t="shared" si="1"/>
        <v>G077.SALP</v>
      </c>
      <c r="K62" s="52" t="str">
        <f t="shared" si="2"/>
        <v>N Grigg-SPOTTO WA DARLI-Travel NC</v>
      </c>
      <c r="L62" s="52" t="s">
        <v>32</v>
      </c>
      <c r="M62" s="53">
        <f t="shared" si="3"/>
        <v>67.73</v>
      </c>
      <c r="N62" s="54" t="s">
        <v>33</v>
      </c>
      <c r="O62" s="44"/>
      <c r="P62" s="54"/>
      <c r="R62" s="21">
        <f t="shared" si="4"/>
        <v>33</v>
      </c>
    </row>
    <row r="63" spans="1:18" ht="15.75" thickBot="1" x14ac:dyDescent="0.25">
      <c r="A63" s="47">
        <v>45869</v>
      </c>
      <c r="B63" s="47" t="s">
        <v>211</v>
      </c>
      <c r="C63" s="48">
        <v>19.350000000000001</v>
      </c>
      <c r="D63" s="48"/>
      <c r="E63" s="13" t="s">
        <v>212</v>
      </c>
      <c r="F63" s="49" t="s">
        <v>366</v>
      </c>
      <c r="G63" s="71" t="s">
        <v>367</v>
      </c>
      <c r="H63" s="13"/>
      <c r="J63" s="51" t="str">
        <f t="shared" si="1"/>
        <v>G077.SALP</v>
      </c>
      <c r="K63" s="52" t="str">
        <f t="shared" si="2"/>
        <v>N Grigg-UBER   *TRIP Sy-travel NC</v>
      </c>
      <c r="L63" s="52" t="s">
        <v>32</v>
      </c>
      <c r="M63" s="53">
        <f t="shared" si="3"/>
        <v>19.350000000000001</v>
      </c>
      <c r="N63" s="54" t="s">
        <v>33</v>
      </c>
      <c r="O63" s="44"/>
      <c r="P63" s="54"/>
      <c r="R63" s="21">
        <f t="shared" si="4"/>
        <v>33</v>
      </c>
    </row>
    <row r="64" spans="1:18" ht="15.75" thickBot="1" x14ac:dyDescent="0.25">
      <c r="A64" s="47">
        <v>45869</v>
      </c>
      <c r="B64" s="47" t="s">
        <v>42</v>
      </c>
      <c r="C64" s="48">
        <v>16.29</v>
      </c>
      <c r="D64" s="48"/>
      <c r="E64" s="13" t="s">
        <v>212</v>
      </c>
      <c r="F64" s="49" t="s">
        <v>366</v>
      </c>
      <c r="G64" s="71" t="s">
        <v>367</v>
      </c>
      <c r="H64" s="13"/>
      <c r="J64" s="51" t="str">
        <f t="shared" si="1"/>
        <v>G077.SALP</v>
      </c>
      <c r="K64" s="52" t="str">
        <f t="shared" si="2"/>
        <v>N Grigg-UBER *TRIP HELP-travel NC</v>
      </c>
      <c r="L64" s="52" t="s">
        <v>32</v>
      </c>
      <c r="M64" s="53">
        <f t="shared" si="3"/>
        <v>16.29</v>
      </c>
      <c r="N64" s="54" t="s">
        <v>33</v>
      </c>
      <c r="O64" s="44"/>
      <c r="P64" s="54"/>
      <c r="R64" s="21">
        <f t="shared" si="4"/>
        <v>33</v>
      </c>
    </row>
    <row r="65" spans="1:18" ht="15.75" thickBot="1" x14ac:dyDescent="0.25">
      <c r="A65" s="47">
        <v>45865</v>
      </c>
      <c r="B65" s="47" t="s">
        <v>42</v>
      </c>
      <c r="C65" s="48">
        <v>191.33</v>
      </c>
      <c r="D65" s="48"/>
      <c r="E65" s="13" t="s">
        <v>212</v>
      </c>
      <c r="F65" s="49" t="s">
        <v>366</v>
      </c>
      <c r="G65" s="71" t="s">
        <v>367</v>
      </c>
      <c r="H65" s="13"/>
      <c r="J65" s="51" t="str">
        <f t="shared" si="1"/>
        <v>G077.SALP</v>
      </c>
      <c r="K65" s="52" t="str">
        <f t="shared" si="2"/>
        <v>N Grigg-UBER *TRIP HELP-travel NC</v>
      </c>
      <c r="L65" s="52" t="s">
        <v>32</v>
      </c>
      <c r="M65" s="53">
        <f t="shared" si="3"/>
        <v>191.33</v>
      </c>
      <c r="N65" s="54" t="s">
        <v>33</v>
      </c>
      <c r="O65" s="44"/>
      <c r="P65" s="54"/>
      <c r="R65" s="21">
        <f t="shared" si="4"/>
        <v>33</v>
      </c>
    </row>
    <row r="66" spans="1:18" ht="15.75" thickBot="1" x14ac:dyDescent="0.25">
      <c r="A66" s="47">
        <v>45865</v>
      </c>
      <c r="B66" s="47" t="s">
        <v>160</v>
      </c>
      <c r="C66" s="48">
        <v>49</v>
      </c>
      <c r="D66" s="48"/>
      <c r="E66" s="13" t="s">
        <v>213</v>
      </c>
      <c r="F66" s="49" t="s">
        <v>366</v>
      </c>
      <c r="G66" s="71" t="s">
        <v>367</v>
      </c>
      <c r="H66" s="13"/>
      <c r="J66" s="51" t="str">
        <f t="shared" si="1"/>
        <v>G077.SALP</v>
      </c>
      <c r="K66" s="52" t="str">
        <f t="shared" si="2"/>
        <v>N Grigg-Airport Shuttle-Trip to airport</v>
      </c>
      <c r="L66" s="52" t="s">
        <v>32</v>
      </c>
      <c r="M66" s="53">
        <f t="shared" si="3"/>
        <v>49</v>
      </c>
      <c r="N66" s="54" t="s">
        <v>33</v>
      </c>
      <c r="O66" s="44"/>
      <c r="P66" s="54"/>
      <c r="R66" s="21">
        <f t="shared" si="4"/>
        <v>39</v>
      </c>
    </row>
    <row r="67" spans="1:18" ht="15.75" thickBot="1" x14ac:dyDescent="0.25">
      <c r="A67" s="47">
        <v>45861</v>
      </c>
      <c r="B67" s="47" t="s">
        <v>214</v>
      </c>
      <c r="C67" s="48">
        <v>7</v>
      </c>
      <c r="D67" s="48"/>
      <c r="E67" s="13" t="s">
        <v>215</v>
      </c>
      <c r="F67" s="49" t="s">
        <v>366</v>
      </c>
      <c r="G67" s="71" t="s">
        <v>367</v>
      </c>
      <c r="H67" s="13"/>
      <c r="J67" s="51" t="str">
        <f t="shared" si="1"/>
        <v>G077.SALP</v>
      </c>
      <c r="K67" s="52" t="str">
        <f t="shared" si="2"/>
        <v>N Grigg-IPY*Jetstar Ent-Food on plane</v>
      </c>
      <c r="L67" s="52" t="s">
        <v>32</v>
      </c>
      <c r="M67" s="53">
        <f t="shared" si="3"/>
        <v>7</v>
      </c>
      <c r="N67" s="54" t="s">
        <v>33</v>
      </c>
      <c r="O67" s="44"/>
      <c r="P67" s="54"/>
      <c r="R67" s="21">
        <f t="shared" si="4"/>
        <v>37</v>
      </c>
    </row>
    <row r="68" spans="1:18" ht="15.75" thickBot="1" x14ac:dyDescent="0.25">
      <c r="A68" s="47">
        <v>45860</v>
      </c>
      <c r="B68" s="47" t="s">
        <v>211</v>
      </c>
      <c r="C68" s="48">
        <v>13.52</v>
      </c>
      <c r="D68" s="48"/>
      <c r="E68" s="13" t="s">
        <v>170</v>
      </c>
      <c r="F68" s="49" t="s">
        <v>366</v>
      </c>
      <c r="G68" s="71" t="s">
        <v>367</v>
      </c>
      <c r="H68" s="13"/>
      <c r="J68" s="51" t="str">
        <f t="shared" si="1"/>
        <v>G077.SALP</v>
      </c>
      <c r="K68" s="52" t="str">
        <f t="shared" si="2"/>
        <v>N Grigg-UBER   *TRIP Sy-Travel NC</v>
      </c>
      <c r="L68" s="52" t="s">
        <v>32</v>
      </c>
      <c r="M68" s="53">
        <f t="shared" si="3"/>
        <v>13.52</v>
      </c>
      <c r="N68" s="54" t="s">
        <v>33</v>
      </c>
      <c r="O68" s="44"/>
      <c r="P68" s="54"/>
      <c r="R68" s="21">
        <f t="shared" si="4"/>
        <v>33</v>
      </c>
    </row>
    <row r="69" spans="1:18" ht="15.75" thickBot="1" x14ac:dyDescent="0.25">
      <c r="A69" s="47">
        <v>45860</v>
      </c>
      <c r="B69" s="47" t="s">
        <v>216</v>
      </c>
      <c r="C69" s="48">
        <v>8.1199999999999992</v>
      </c>
      <c r="D69" s="48"/>
      <c r="E69" s="13" t="s">
        <v>170</v>
      </c>
      <c r="F69" s="49">
        <v>1041</v>
      </c>
      <c r="G69" s="71" t="s">
        <v>438</v>
      </c>
      <c r="H69" s="13"/>
      <c r="J69" s="51" t="str">
        <f t="shared" si="1"/>
        <v>1041.ENFE</v>
      </c>
      <c r="K69" s="52" t="str">
        <f t="shared" si="2"/>
        <v>N Grigg-The Victoria Ho-Travel NC</v>
      </c>
      <c r="L69" s="52" t="s">
        <v>32</v>
      </c>
      <c r="M69" s="53">
        <f t="shared" si="3"/>
        <v>8.1199999999999992</v>
      </c>
      <c r="N69" s="54" t="s">
        <v>33</v>
      </c>
      <c r="O69" s="44"/>
      <c r="P69" s="54"/>
      <c r="R69" s="21">
        <f t="shared" si="4"/>
        <v>33</v>
      </c>
    </row>
    <row r="70" spans="1:18" ht="15.75" thickBot="1" x14ac:dyDescent="0.25">
      <c r="A70" s="47">
        <v>45860</v>
      </c>
      <c r="B70" s="47" t="s">
        <v>216</v>
      </c>
      <c r="C70" s="48">
        <v>16.239999999999998</v>
      </c>
      <c r="D70" s="48"/>
      <c r="E70" s="13" t="s">
        <v>217</v>
      </c>
      <c r="F70" s="49">
        <v>1041</v>
      </c>
      <c r="G70" s="71" t="s">
        <v>438</v>
      </c>
      <c r="H70" s="13"/>
      <c r="J70" s="51" t="str">
        <f t="shared" si="1"/>
        <v>1041.ENFE</v>
      </c>
      <c r="K70" s="52" t="str">
        <f t="shared" si="2"/>
        <v xml:space="preserve">N Grigg-The Victoria Ho-Cutting edge </v>
      </c>
      <c r="L70" s="52" t="s">
        <v>32</v>
      </c>
      <c r="M70" s="53">
        <f t="shared" si="3"/>
        <v>16.239999999999998</v>
      </c>
      <c r="N70" s="54" t="s">
        <v>33</v>
      </c>
      <c r="O70" s="44"/>
      <c r="P70" s="54"/>
      <c r="R70" s="21">
        <f t="shared" si="4"/>
        <v>37</v>
      </c>
    </row>
    <row r="71" spans="1:18" ht="15.75" thickBot="1" x14ac:dyDescent="0.25">
      <c r="A71" s="47">
        <v>45860</v>
      </c>
      <c r="B71" s="47" t="s">
        <v>218</v>
      </c>
      <c r="C71" s="48">
        <v>18.010000000000002</v>
      </c>
      <c r="D71" s="48"/>
      <c r="E71" s="13" t="s">
        <v>170</v>
      </c>
      <c r="F71" s="49" t="s">
        <v>366</v>
      </c>
      <c r="G71" s="71" t="s">
        <v>367</v>
      </c>
      <c r="H71" s="13"/>
      <c r="J71" s="51" t="str">
        <f t="shared" si="1"/>
        <v>G077.SALP</v>
      </c>
      <c r="K71" s="52" t="str">
        <f t="shared" si="2"/>
        <v>N Grigg-BALLARAT TAXI 1-Travel NC</v>
      </c>
      <c r="L71" s="52" t="s">
        <v>32</v>
      </c>
      <c r="M71" s="53">
        <f t="shared" si="3"/>
        <v>18.010000000000002</v>
      </c>
      <c r="N71" s="54" t="s">
        <v>33</v>
      </c>
      <c r="O71" s="44"/>
      <c r="P71" s="54"/>
      <c r="R71" s="21">
        <f t="shared" si="4"/>
        <v>33</v>
      </c>
    </row>
    <row r="72" spans="1:18" ht="15.75" thickBot="1" x14ac:dyDescent="0.25">
      <c r="A72" s="47">
        <v>45857</v>
      </c>
      <c r="B72" s="47" t="s">
        <v>42</v>
      </c>
      <c r="C72" s="48">
        <v>11.39</v>
      </c>
      <c r="D72" s="48"/>
      <c r="E72" s="13" t="s">
        <v>170</v>
      </c>
      <c r="F72" s="49" t="s">
        <v>366</v>
      </c>
      <c r="G72" s="71" t="s">
        <v>367</v>
      </c>
      <c r="H72" s="13"/>
      <c r="J72" s="51" t="str">
        <f t="shared" si="1"/>
        <v>G077.SALP</v>
      </c>
      <c r="K72" s="52" t="str">
        <f t="shared" si="2"/>
        <v>N Grigg-UBER *TRIP HELP-Travel NC</v>
      </c>
      <c r="L72" s="52" t="s">
        <v>32</v>
      </c>
      <c r="M72" s="53">
        <f t="shared" si="3"/>
        <v>11.39</v>
      </c>
      <c r="N72" s="54" t="s">
        <v>33</v>
      </c>
      <c r="O72" s="44"/>
      <c r="P72" s="54"/>
      <c r="R72" s="21">
        <f t="shared" si="4"/>
        <v>33</v>
      </c>
    </row>
  </sheetData>
  <mergeCells count="5">
    <mergeCell ref="J1:P1"/>
    <mergeCell ref="A4:H4"/>
    <mergeCell ref="J5:Q5"/>
    <mergeCell ref="E6:H7"/>
    <mergeCell ref="A1:H3"/>
  </mergeCells>
  <conditionalFormatting sqref="B16:B72">
    <cfRule type="cellIs" dxfId="15" priority="1" operator="lessThan">
      <formula>0</formula>
    </cfRule>
  </conditionalFormatting>
  <dataValidations count="1">
    <dataValidation type="list" allowBlank="1" showInputMessage="1" showErrorMessage="1" sqref="C16:C48" xr:uid="{684C2E92-64D5-42FC-A7C9-D29172520DCD}">
      <formula1>"GST 10%, GST FREE"</formula1>
    </dataValidation>
  </dataValidation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 tint="0.79998168889431442"/>
  </sheetPr>
  <dimension ref="A1:R36"/>
  <sheetViews>
    <sheetView topLeftCell="B1" workbookViewId="0">
      <selection activeCell="I1" sqref="A1:XFD21"/>
    </sheetView>
  </sheetViews>
  <sheetFormatPr defaultRowHeight="12.75" x14ac:dyDescent="0.2"/>
  <cols>
    <col min="1" max="1" width="17.42578125" style="3" customWidth="1"/>
    <col min="2" max="2" width="47.42578125" customWidth="1"/>
    <col min="3" max="3" width="13.5703125" customWidth="1"/>
    <col min="4" max="4" width="16.42578125" customWidth="1"/>
    <col min="5" max="5" width="21.7109375" customWidth="1"/>
    <col min="6" max="6" width="14.140625" bestFit="1" customWidth="1"/>
    <col min="7" max="7" width="13.42578125" bestFit="1" customWidth="1"/>
    <col min="8" max="8" width="15.5703125" customWidth="1"/>
    <col min="9" max="9" width="2.42578125" customWidth="1"/>
    <col min="10" max="10" width="21.85546875" bestFit="1" customWidth="1"/>
    <col min="11" max="11" width="19.42578125" bestFit="1" customWidth="1"/>
    <col min="12" max="12" width="4" bestFit="1" customWidth="1"/>
    <col min="15" max="15" width="21.42578125" customWidth="1"/>
    <col min="16" max="16" width="15.85546875" customWidth="1"/>
  </cols>
  <sheetData>
    <row r="1" spans="1:18" ht="12" customHeight="1" x14ac:dyDescent="0.2">
      <c r="A1" s="118" t="s">
        <v>12</v>
      </c>
      <c r="B1" s="119"/>
      <c r="C1" s="119"/>
      <c r="D1" s="119"/>
      <c r="E1" s="119"/>
      <c r="F1" s="119"/>
      <c r="G1" s="119"/>
      <c r="H1" s="119"/>
      <c r="J1" s="113" t="s">
        <v>13</v>
      </c>
      <c r="K1" s="113"/>
      <c r="L1" s="113"/>
      <c r="M1" s="113"/>
      <c r="N1" s="113"/>
      <c r="O1" s="113"/>
      <c r="P1" s="113"/>
    </row>
    <row r="2" spans="1:18" ht="12" customHeight="1" x14ac:dyDescent="0.2">
      <c r="A2" s="118"/>
      <c r="B2" s="119"/>
      <c r="C2" s="119"/>
      <c r="D2" s="119"/>
      <c r="E2" s="119"/>
      <c r="F2" s="119"/>
      <c r="G2" s="119"/>
      <c r="H2" s="119"/>
      <c r="J2" s="74" t="s">
        <v>508</v>
      </c>
      <c r="K2" s="88">
        <v>1682.17</v>
      </c>
      <c r="L2" s="74"/>
      <c r="M2" s="74"/>
      <c r="N2" s="74"/>
      <c r="O2" s="74"/>
      <c r="P2" s="74"/>
    </row>
    <row r="3" spans="1:18" ht="12" customHeight="1" x14ac:dyDescent="0.2">
      <c r="A3" s="118"/>
      <c r="B3" s="119"/>
      <c r="C3" s="119"/>
      <c r="D3" s="119"/>
      <c r="E3" s="119"/>
      <c r="F3" s="119"/>
      <c r="G3" s="119"/>
      <c r="H3" s="119"/>
      <c r="J3" t="s">
        <v>509</v>
      </c>
      <c r="K3" s="21">
        <f>SUM(M9:M144)</f>
        <v>1682.1699999999998</v>
      </c>
      <c r="L3" s="74"/>
      <c r="M3" s="74"/>
      <c r="N3" s="74"/>
      <c r="O3" s="74"/>
      <c r="P3" s="74"/>
    </row>
    <row r="4" spans="1:18" ht="12" customHeight="1" x14ac:dyDescent="0.2">
      <c r="A4" s="114" t="s">
        <v>219</v>
      </c>
      <c r="B4" s="113"/>
      <c r="C4" s="113"/>
      <c r="D4" s="113"/>
      <c r="E4" s="113"/>
      <c r="F4" s="113"/>
      <c r="G4" s="113"/>
      <c r="H4" s="113"/>
      <c r="J4" t="s">
        <v>510</v>
      </c>
      <c r="K4" s="21">
        <f>K2-K3</f>
        <v>0</v>
      </c>
    </row>
    <row r="5" spans="1:18" ht="12" customHeight="1" x14ac:dyDescent="0.2">
      <c r="A5" s="9" t="s">
        <v>3</v>
      </c>
      <c r="B5" s="10" t="str">
        <f>CONCATENATE(Header!$E$4,"Jenkins")</f>
        <v>MC-250816Jenkins</v>
      </c>
      <c r="C5" s="8"/>
      <c r="D5" s="8"/>
      <c r="E5" s="8"/>
      <c r="J5" s="115" t="s">
        <v>15</v>
      </c>
      <c r="K5" s="115"/>
      <c r="L5" s="115"/>
      <c r="M5" s="115"/>
      <c r="N5" s="115"/>
      <c r="O5" s="115"/>
      <c r="P5" s="115"/>
      <c r="Q5" s="115"/>
    </row>
    <row r="6" spans="1:18" ht="12" customHeight="1" x14ac:dyDescent="0.2">
      <c r="A6" s="9" t="s">
        <v>5</v>
      </c>
      <c r="B6" s="12">
        <f>Header!$E$5</f>
        <v>45885</v>
      </c>
      <c r="C6" s="8"/>
      <c r="D6" s="8"/>
      <c r="E6" s="116" t="s">
        <v>16</v>
      </c>
      <c r="F6" s="116"/>
      <c r="G6" s="116"/>
      <c r="H6" s="116"/>
    </row>
    <row r="7" spans="1:18" ht="12" customHeight="1" thickBot="1" x14ac:dyDescent="0.25">
      <c r="A7" s="11"/>
      <c r="B7" s="8"/>
      <c r="C7" s="8"/>
      <c r="D7" s="8"/>
      <c r="E7" s="117"/>
      <c r="F7" s="117"/>
      <c r="G7" s="117"/>
      <c r="H7" s="117"/>
    </row>
    <row r="8" spans="1:18" ht="45.75" thickBot="1" x14ac:dyDescent="0.25">
      <c r="A8" s="32" t="s">
        <v>17</v>
      </c>
      <c r="B8" s="33" t="s">
        <v>18</v>
      </c>
      <c r="C8" s="33" t="s">
        <v>19</v>
      </c>
      <c r="D8" s="33" t="s">
        <v>20</v>
      </c>
      <c r="E8" s="68" t="s">
        <v>36</v>
      </c>
      <c r="F8" s="64" t="s">
        <v>22</v>
      </c>
      <c r="G8" s="65" t="s">
        <v>23</v>
      </c>
      <c r="H8" s="18" t="s">
        <v>24</v>
      </c>
      <c r="J8" s="32" t="s">
        <v>25</v>
      </c>
      <c r="K8" s="33" t="s">
        <v>3</v>
      </c>
      <c r="L8" s="33" t="s">
        <v>26</v>
      </c>
      <c r="M8" s="33" t="s">
        <v>27</v>
      </c>
      <c r="N8" s="34" t="s">
        <v>28</v>
      </c>
      <c r="O8" s="34" t="s">
        <v>29</v>
      </c>
      <c r="P8" s="34" t="s">
        <v>30</v>
      </c>
      <c r="R8" s="90" t="s">
        <v>511</v>
      </c>
    </row>
    <row r="9" spans="1:18" ht="15.75" thickBot="1" x14ac:dyDescent="0.25">
      <c r="A9" s="45">
        <v>45884</v>
      </c>
      <c r="B9" s="45" t="s">
        <v>220</v>
      </c>
      <c r="C9" s="46">
        <v>6</v>
      </c>
      <c r="D9" s="46"/>
      <c r="E9" s="69" t="s">
        <v>221</v>
      </c>
      <c r="F9" s="66">
        <v>1084</v>
      </c>
      <c r="G9" s="66" t="s">
        <v>504</v>
      </c>
      <c r="H9" s="15"/>
      <c r="J9" s="51" t="str">
        <f t="shared" ref="J9" si="0">IF(F9&gt;0,(_xlfn.CONCAT(F9,".",G9)),H9)</f>
        <v>1084.BFEE</v>
      </c>
      <c r="K9" s="52" t="str">
        <f>_xlfn.CONCAT("S Jenkins-",(LEFT(B9,15)),"-",E9)</f>
        <v>S Jenkins-CASH ADVANCE FE-Bank charge</v>
      </c>
      <c r="L9" s="52" t="s">
        <v>32</v>
      </c>
      <c r="M9" s="53">
        <f>IF(C9&gt;0,C9,-D9)</f>
        <v>6</v>
      </c>
      <c r="N9" s="54" t="s">
        <v>150</v>
      </c>
      <c r="O9" s="44"/>
      <c r="P9" s="55"/>
      <c r="Q9" t="s">
        <v>34</v>
      </c>
      <c r="R9" s="21">
        <f>LEN(K9)</f>
        <v>37</v>
      </c>
    </row>
    <row r="10" spans="1:18" ht="15.75" thickBot="1" x14ac:dyDescent="0.25">
      <c r="A10" s="47">
        <v>45884</v>
      </c>
      <c r="B10" s="47" t="s">
        <v>222</v>
      </c>
      <c r="C10" s="48">
        <v>3.2</v>
      </c>
      <c r="D10" s="48"/>
      <c r="E10" s="70" t="s">
        <v>221</v>
      </c>
      <c r="F10" s="66">
        <v>1084</v>
      </c>
      <c r="G10" s="66" t="s">
        <v>504</v>
      </c>
      <c r="H10" s="50"/>
      <c r="J10" s="51" t="str">
        <f t="shared" ref="J10:J21" si="1">IF(F10&gt;0,(_xlfn.CONCAT(F10,".",G10)),H10)</f>
        <v>1084.BFEE</v>
      </c>
      <c r="K10" s="52" t="str">
        <f t="shared" ref="K10:K21" si="2">_xlfn.CONCAT("S Jenkins-",(LEFT(B10,15)),"-",E10)</f>
        <v>S Jenkins-ATM WDRL FEE BA-Bank charge</v>
      </c>
      <c r="L10" s="52" t="s">
        <v>32</v>
      </c>
      <c r="M10" s="53">
        <f t="shared" ref="M10:M21" si="3">IF(C10&gt;0,C10,-D10)</f>
        <v>3.2</v>
      </c>
      <c r="N10" s="54" t="s">
        <v>150</v>
      </c>
      <c r="O10" s="44"/>
      <c r="P10" s="54"/>
      <c r="R10" s="21">
        <f t="shared" ref="R10:R35" si="4">LEN(K10)</f>
        <v>37</v>
      </c>
    </row>
    <row r="11" spans="1:18" ht="15.75" thickBot="1" x14ac:dyDescent="0.25">
      <c r="A11" s="47">
        <v>45884</v>
      </c>
      <c r="B11" s="47" t="s">
        <v>223</v>
      </c>
      <c r="C11" s="48">
        <v>200</v>
      </c>
      <c r="D11" s="48"/>
      <c r="E11" s="70" t="s">
        <v>457</v>
      </c>
      <c r="F11" s="67" t="s">
        <v>224</v>
      </c>
      <c r="G11" s="67" t="s">
        <v>359</v>
      </c>
      <c r="H11" s="13"/>
      <c r="J11" s="51" t="str">
        <f t="shared" si="1"/>
        <v>S14734.TRVP</v>
      </c>
      <c r="K11" s="52" t="str">
        <f t="shared" si="2"/>
        <v>S Jenkins-CASH ADVANCE BA-Change to filippino currency</v>
      </c>
      <c r="L11" s="52" t="s">
        <v>32</v>
      </c>
      <c r="M11" s="53">
        <f t="shared" si="3"/>
        <v>200</v>
      </c>
      <c r="N11" s="54" t="s">
        <v>150</v>
      </c>
      <c r="O11" s="44"/>
      <c r="P11" s="54"/>
      <c r="R11" s="21">
        <f t="shared" si="4"/>
        <v>54</v>
      </c>
    </row>
    <row r="12" spans="1:18" ht="15.75" thickBot="1" x14ac:dyDescent="0.25">
      <c r="A12" s="47">
        <v>45882</v>
      </c>
      <c r="B12" s="47" t="s">
        <v>174</v>
      </c>
      <c r="C12" s="48">
        <v>102.52</v>
      </c>
      <c r="D12" s="48"/>
      <c r="E12" s="70" t="s">
        <v>225</v>
      </c>
      <c r="F12" s="67">
        <v>1054</v>
      </c>
      <c r="G12" s="67" t="s">
        <v>505</v>
      </c>
      <c r="H12" s="50"/>
      <c r="J12" s="51" t="str">
        <f t="shared" si="1"/>
        <v>1054.MVPF</v>
      </c>
      <c r="K12" s="52" t="str">
        <f t="shared" si="2"/>
        <v>S Jenkins-APCO ALFREDTON -Fuel</v>
      </c>
      <c r="L12" s="52" t="s">
        <v>32</v>
      </c>
      <c r="M12" s="53">
        <f t="shared" si="3"/>
        <v>102.52</v>
      </c>
      <c r="N12" s="54" t="s">
        <v>33</v>
      </c>
      <c r="O12" s="44"/>
      <c r="P12" s="54"/>
      <c r="R12" s="21">
        <f t="shared" si="4"/>
        <v>30</v>
      </c>
    </row>
    <row r="13" spans="1:18" ht="15.75" thickBot="1" x14ac:dyDescent="0.25">
      <c r="A13" s="47">
        <v>45881</v>
      </c>
      <c r="B13" s="47" t="s">
        <v>226</v>
      </c>
      <c r="C13" s="48">
        <v>170.97</v>
      </c>
      <c r="D13" s="48"/>
      <c r="E13" s="70" t="s">
        <v>227</v>
      </c>
      <c r="F13" s="67">
        <v>1054</v>
      </c>
      <c r="G13" s="67" t="s">
        <v>228</v>
      </c>
      <c r="H13" s="13"/>
      <c r="J13" s="51" t="str">
        <f t="shared" si="1"/>
        <v>1054.UNIF</v>
      </c>
      <c r="K13" s="52" t="str">
        <f t="shared" si="2"/>
        <v>S Jenkins-RSEA PTY. LTD. -Hi-vis work clothing</v>
      </c>
      <c r="L13" s="52" t="s">
        <v>32</v>
      </c>
      <c r="M13" s="53">
        <f t="shared" si="3"/>
        <v>170.97</v>
      </c>
      <c r="N13" s="54" t="s">
        <v>33</v>
      </c>
      <c r="O13" s="44"/>
      <c r="P13" s="54"/>
      <c r="R13" s="21">
        <f t="shared" si="4"/>
        <v>46</v>
      </c>
    </row>
    <row r="14" spans="1:18" ht="15.75" thickBot="1" x14ac:dyDescent="0.25">
      <c r="A14" s="47">
        <v>45881</v>
      </c>
      <c r="B14" s="47" t="s">
        <v>229</v>
      </c>
      <c r="C14" s="48">
        <v>99</v>
      </c>
      <c r="D14" s="48"/>
      <c r="E14" s="70" t="s">
        <v>230</v>
      </c>
      <c r="F14" s="67" t="s">
        <v>224</v>
      </c>
      <c r="G14" s="67" t="s">
        <v>359</v>
      </c>
      <c r="H14" s="13"/>
      <c r="J14" s="51" t="str">
        <f t="shared" si="1"/>
        <v>S14734.TRVP</v>
      </c>
      <c r="K14" s="52" t="str">
        <f t="shared" si="2"/>
        <v>S Jenkins-N. KIMPTON PTY.-Travel doctor</v>
      </c>
      <c r="L14" s="52" t="s">
        <v>32</v>
      </c>
      <c r="M14" s="53">
        <f t="shared" si="3"/>
        <v>99</v>
      </c>
      <c r="N14" s="54" t="s">
        <v>33</v>
      </c>
      <c r="O14" s="44"/>
      <c r="P14" s="54"/>
      <c r="R14" s="21">
        <f t="shared" si="4"/>
        <v>39</v>
      </c>
    </row>
    <row r="15" spans="1:18" ht="15.75" thickBot="1" x14ac:dyDescent="0.25">
      <c r="A15" s="47">
        <v>45880</v>
      </c>
      <c r="B15" s="47" t="s">
        <v>160</v>
      </c>
      <c r="C15" s="48">
        <v>49</v>
      </c>
      <c r="D15" s="48"/>
      <c r="E15" s="70" t="s">
        <v>231</v>
      </c>
      <c r="F15" s="67" t="s">
        <v>224</v>
      </c>
      <c r="G15" s="67" t="s">
        <v>359</v>
      </c>
      <c r="H15" s="13"/>
      <c r="J15" s="51" t="str">
        <f t="shared" si="1"/>
        <v>S14734.TRVP</v>
      </c>
      <c r="K15" s="52" t="str">
        <f t="shared" si="2"/>
        <v>S Jenkins-Airport Shuttle-Airport shuttle</v>
      </c>
      <c r="L15" s="52" t="s">
        <v>32</v>
      </c>
      <c r="M15" s="53">
        <f t="shared" si="3"/>
        <v>49</v>
      </c>
      <c r="N15" s="54" t="s">
        <v>33</v>
      </c>
      <c r="O15" s="44"/>
      <c r="P15" s="54"/>
      <c r="R15" s="21">
        <f t="shared" si="4"/>
        <v>41</v>
      </c>
    </row>
    <row r="16" spans="1:18" ht="15.75" thickBot="1" x14ac:dyDescent="0.25">
      <c r="A16" s="47">
        <v>45880</v>
      </c>
      <c r="B16" s="47" t="s">
        <v>79</v>
      </c>
      <c r="C16" s="48">
        <v>96.8</v>
      </c>
      <c r="D16" s="48"/>
      <c r="E16" s="70" t="s">
        <v>233</v>
      </c>
      <c r="F16" s="67">
        <v>1054</v>
      </c>
      <c r="G16" s="67" t="s">
        <v>234</v>
      </c>
      <c r="H16" s="13"/>
      <c r="J16" s="51" t="str">
        <f t="shared" si="1"/>
        <v>1054.TOOL</v>
      </c>
      <c r="K16" s="52" t="str">
        <f t="shared" si="2"/>
        <v>S Jenkins-TOTAL TOOLS BAL-Tools for service visits</v>
      </c>
      <c r="L16" s="52" t="s">
        <v>32</v>
      </c>
      <c r="M16" s="53">
        <f t="shared" si="3"/>
        <v>96.8</v>
      </c>
      <c r="N16" s="54" t="s">
        <v>33</v>
      </c>
      <c r="O16" s="44"/>
      <c r="P16" s="54"/>
      <c r="R16" s="21">
        <f t="shared" si="4"/>
        <v>50</v>
      </c>
    </row>
    <row r="17" spans="1:18" ht="15.75" thickBot="1" x14ac:dyDescent="0.25">
      <c r="A17" s="47">
        <v>45873</v>
      </c>
      <c r="B17" s="47" t="s">
        <v>235</v>
      </c>
      <c r="C17" s="48">
        <v>128.03</v>
      </c>
      <c r="D17" s="48"/>
      <c r="E17" s="70" t="s">
        <v>225</v>
      </c>
      <c r="F17" s="67">
        <v>1054</v>
      </c>
      <c r="G17" s="67" t="s">
        <v>505</v>
      </c>
      <c r="H17" s="13"/>
      <c r="J17" s="51" t="str">
        <f t="shared" si="1"/>
        <v>1054.MVPF</v>
      </c>
      <c r="K17" s="52" t="str">
        <f t="shared" si="2"/>
        <v>S Jenkins-APCO SKIPTON ST-Fuel</v>
      </c>
      <c r="L17" s="52" t="s">
        <v>32</v>
      </c>
      <c r="M17" s="53">
        <f t="shared" si="3"/>
        <v>128.03</v>
      </c>
      <c r="N17" s="54" t="s">
        <v>33</v>
      </c>
      <c r="O17" s="44"/>
      <c r="P17" s="54"/>
      <c r="R17" s="21">
        <f t="shared" si="4"/>
        <v>30</v>
      </c>
    </row>
    <row r="18" spans="1:18" ht="15.75" thickBot="1" x14ac:dyDescent="0.25">
      <c r="A18" s="47">
        <v>45873</v>
      </c>
      <c r="B18" s="47" t="s">
        <v>39</v>
      </c>
      <c r="C18" s="48">
        <v>55</v>
      </c>
      <c r="D18" s="48"/>
      <c r="E18" s="70" t="s">
        <v>236</v>
      </c>
      <c r="F18" s="67" t="s">
        <v>224</v>
      </c>
      <c r="G18" s="67" t="s">
        <v>359</v>
      </c>
      <c r="H18" s="13"/>
      <c r="J18" s="51" t="str">
        <f t="shared" si="1"/>
        <v>S14734.TRVP</v>
      </c>
      <c r="K18" s="52" t="str">
        <f t="shared" si="2"/>
        <v>S Jenkins-OFFICEWORKS 036-Country travel adaptor</v>
      </c>
      <c r="L18" s="52" t="s">
        <v>32</v>
      </c>
      <c r="M18" s="53">
        <f t="shared" si="3"/>
        <v>55</v>
      </c>
      <c r="N18" s="54" t="s">
        <v>33</v>
      </c>
      <c r="O18" s="44"/>
      <c r="P18" s="54"/>
      <c r="R18" s="21">
        <f t="shared" si="4"/>
        <v>48</v>
      </c>
    </row>
    <row r="19" spans="1:18" ht="15.75" thickBot="1" x14ac:dyDescent="0.25">
      <c r="A19" s="47">
        <v>45864</v>
      </c>
      <c r="B19" s="47" t="s">
        <v>31</v>
      </c>
      <c r="C19" s="48">
        <v>116.95</v>
      </c>
      <c r="D19" s="48"/>
      <c r="E19" s="70" t="s">
        <v>237</v>
      </c>
      <c r="F19" s="67">
        <v>1054</v>
      </c>
      <c r="G19" s="67" t="s">
        <v>458</v>
      </c>
      <c r="H19" s="13"/>
      <c r="J19" s="51" t="str">
        <f t="shared" si="1"/>
        <v>1054.REPM</v>
      </c>
      <c r="K19" s="52" t="str">
        <f t="shared" si="2"/>
        <v>S Jenkins-BUNNINGS 329000-Cleaning supplies for B2</v>
      </c>
      <c r="L19" s="52" t="s">
        <v>32</v>
      </c>
      <c r="M19" s="53">
        <f t="shared" si="3"/>
        <v>116.95</v>
      </c>
      <c r="N19" s="54" t="s">
        <v>33</v>
      </c>
      <c r="O19" s="44"/>
      <c r="P19" s="54"/>
      <c r="R19" s="21">
        <f t="shared" si="4"/>
        <v>50</v>
      </c>
    </row>
    <row r="20" spans="1:18" ht="15.75" thickBot="1" x14ac:dyDescent="0.25">
      <c r="A20" s="47">
        <v>45860</v>
      </c>
      <c r="B20" s="47" t="s">
        <v>229</v>
      </c>
      <c r="C20" s="48">
        <v>218</v>
      </c>
      <c r="D20" s="48"/>
      <c r="E20" s="70" t="s">
        <v>230</v>
      </c>
      <c r="F20" s="67" t="s">
        <v>224</v>
      </c>
      <c r="G20" s="67" t="s">
        <v>359</v>
      </c>
      <c r="H20" s="13"/>
      <c r="J20" s="51" t="str">
        <f t="shared" si="1"/>
        <v>S14734.TRVP</v>
      </c>
      <c r="K20" s="52" t="str">
        <f t="shared" si="2"/>
        <v>S Jenkins-N. KIMPTON PTY.-Travel doctor</v>
      </c>
      <c r="L20" s="52" t="s">
        <v>32</v>
      </c>
      <c r="M20" s="53">
        <f t="shared" si="3"/>
        <v>218</v>
      </c>
      <c r="N20" s="54" t="s">
        <v>33</v>
      </c>
      <c r="O20" s="44"/>
      <c r="P20" s="54"/>
      <c r="R20" s="21">
        <f t="shared" si="4"/>
        <v>39</v>
      </c>
    </row>
    <row r="21" spans="1:18" ht="15.75" thickBot="1" x14ac:dyDescent="0.25">
      <c r="A21" s="47">
        <v>45860</v>
      </c>
      <c r="B21" s="47" t="s">
        <v>238</v>
      </c>
      <c r="C21" s="48">
        <v>436.7</v>
      </c>
      <c r="D21" s="48"/>
      <c r="E21" s="70" t="s">
        <v>230</v>
      </c>
      <c r="F21" s="67" t="s">
        <v>224</v>
      </c>
      <c r="G21" s="67" t="s">
        <v>359</v>
      </c>
      <c r="H21" s="13"/>
      <c r="J21" s="51" t="str">
        <f t="shared" si="1"/>
        <v>S14734.TRVP</v>
      </c>
      <c r="K21" s="52" t="str">
        <f t="shared" si="2"/>
        <v>S Jenkins-Ballarat Medica-Travel doctor</v>
      </c>
      <c r="L21" s="52" t="s">
        <v>32</v>
      </c>
      <c r="M21" s="53">
        <f t="shared" si="3"/>
        <v>436.7</v>
      </c>
      <c r="N21" s="54" t="s">
        <v>33</v>
      </c>
      <c r="O21" s="44"/>
      <c r="P21" s="54"/>
      <c r="R21" s="21">
        <f t="shared" si="4"/>
        <v>39</v>
      </c>
    </row>
    <row r="22" spans="1:18" x14ac:dyDescent="0.2">
      <c r="F22" s="22"/>
      <c r="R22" s="21">
        <f t="shared" si="4"/>
        <v>0</v>
      </c>
    </row>
    <row r="23" spans="1:18" x14ac:dyDescent="0.2">
      <c r="R23" s="21">
        <f t="shared" si="4"/>
        <v>0</v>
      </c>
    </row>
    <row r="24" spans="1:18" x14ac:dyDescent="0.2">
      <c r="R24" s="21">
        <f t="shared" si="4"/>
        <v>0</v>
      </c>
    </row>
    <row r="25" spans="1:18" x14ac:dyDescent="0.2">
      <c r="R25" s="21">
        <f t="shared" si="4"/>
        <v>0</v>
      </c>
    </row>
    <row r="26" spans="1:18" x14ac:dyDescent="0.2">
      <c r="R26" s="21">
        <f t="shared" si="4"/>
        <v>0</v>
      </c>
    </row>
    <row r="27" spans="1:18" x14ac:dyDescent="0.2">
      <c r="R27" s="21">
        <f t="shared" si="4"/>
        <v>0</v>
      </c>
    </row>
    <row r="28" spans="1:18" x14ac:dyDescent="0.2">
      <c r="R28" s="21">
        <f t="shared" si="4"/>
        <v>0</v>
      </c>
    </row>
    <row r="29" spans="1:18" x14ac:dyDescent="0.2">
      <c r="R29" s="21">
        <f t="shared" si="4"/>
        <v>0</v>
      </c>
    </row>
    <row r="30" spans="1:18" x14ac:dyDescent="0.2">
      <c r="R30" s="21">
        <f t="shared" si="4"/>
        <v>0</v>
      </c>
    </row>
    <row r="31" spans="1:18" x14ac:dyDescent="0.2">
      <c r="R31" s="21">
        <f t="shared" si="4"/>
        <v>0</v>
      </c>
    </row>
    <row r="32" spans="1:18" x14ac:dyDescent="0.2">
      <c r="R32" s="21">
        <f t="shared" si="4"/>
        <v>0</v>
      </c>
    </row>
    <row r="33" spans="11:18" x14ac:dyDescent="0.2">
      <c r="R33" s="21">
        <f t="shared" si="4"/>
        <v>0</v>
      </c>
    </row>
    <row r="34" spans="11:18" x14ac:dyDescent="0.2">
      <c r="K34" s="21"/>
      <c r="R34" s="21">
        <f t="shared" si="4"/>
        <v>0</v>
      </c>
    </row>
    <row r="35" spans="11:18" x14ac:dyDescent="0.2">
      <c r="K35" s="21"/>
      <c r="R35" s="21">
        <f t="shared" si="4"/>
        <v>0</v>
      </c>
    </row>
    <row r="36" spans="11:18" x14ac:dyDescent="0.2">
      <c r="K36" s="21"/>
    </row>
  </sheetData>
  <mergeCells count="5">
    <mergeCell ref="J1:P1"/>
    <mergeCell ref="A4:H4"/>
    <mergeCell ref="J5:Q5"/>
    <mergeCell ref="E6:H7"/>
    <mergeCell ref="A1:H3"/>
  </mergeCells>
  <conditionalFormatting sqref="B16:B48">
    <cfRule type="cellIs" dxfId="14" priority="1" operator="lessThan">
      <formula>0</formula>
    </cfRule>
  </conditionalFormatting>
  <dataValidations count="1">
    <dataValidation type="list" allowBlank="1" showInputMessage="1" showErrorMessage="1" sqref="C16:C48" xr:uid="{E218CF0A-221F-428D-9B9D-9628EF3985E5}">
      <formula1>"GST 10%, GST FREE"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F7E25-6DBE-494D-8D2F-12251CC834D3}">
  <sheetPr>
    <tabColor theme="5" tint="0.59999389629810485"/>
  </sheetPr>
  <dimension ref="A1:R35"/>
  <sheetViews>
    <sheetView workbookViewId="0">
      <selection activeCell="J9" sqref="J9:P24"/>
    </sheetView>
  </sheetViews>
  <sheetFormatPr defaultRowHeight="12.75" x14ac:dyDescent="0.2"/>
  <cols>
    <col min="1" max="1" width="17.42578125" style="3" customWidth="1"/>
    <col min="2" max="2" width="47.42578125" customWidth="1"/>
    <col min="3" max="3" width="13.5703125" customWidth="1"/>
    <col min="4" max="4" width="16.42578125" customWidth="1"/>
    <col min="5" max="5" width="13.42578125" customWidth="1"/>
    <col min="6" max="7" width="14.140625" bestFit="1" customWidth="1"/>
    <col min="8" max="8" width="15.5703125" customWidth="1"/>
    <col min="9" max="9" width="2.42578125" customWidth="1"/>
    <col min="10" max="10" width="21.85546875" bestFit="1" customWidth="1"/>
    <col min="11" max="11" width="19.42578125" bestFit="1" customWidth="1"/>
    <col min="12" max="12" width="4" bestFit="1" customWidth="1"/>
    <col min="15" max="15" width="21.42578125" customWidth="1"/>
    <col min="16" max="16" width="15.85546875" customWidth="1"/>
  </cols>
  <sheetData>
    <row r="1" spans="1:18" ht="12" customHeight="1" x14ac:dyDescent="0.2">
      <c r="A1" s="118" t="s">
        <v>12</v>
      </c>
      <c r="B1" s="119"/>
      <c r="C1" s="119"/>
      <c r="D1" s="119"/>
      <c r="E1" s="119"/>
      <c r="F1" s="119"/>
      <c r="G1" s="119"/>
      <c r="H1" s="119"/>
      <c r="J1" s="113" t="s">
        <v>13</v>
      </c>
      <c r="K1" s="113"/>
      <c r="L1" s="113"/>
      <c r="M1" s="113"/>
      <c r="N1" s="113"/>
      <c r="O1" s="113"/>
      <c r="P1" s="113"/>
    </row>
    <row r="2" spans="1:18" ht="12" customHeight="1" x14ac:dyDescent="0.2">
      <c r="A2" s="118"/>
      <c r="B2" s="119"/>
      <c r="C2" s="119"/>
      <c r="D2" s="119"/>
      <c r="E2" s="119"/>
      <c r="F2" s="119"/>
      <c r="G2" s="119"/>
      <c r="H2" s="119"/>
      <c r="J2" s="74" t="s">
        <v>508</v>
      </c>
      <c r="K2" s="88">
        <v>462.25</v>
      </c>
      <c r="L2" s="74"/>
      <c r="M2" s="74"/>
      <c r="N2" s="74"/>
      <c r="O2" s="74"/>
      <c r="P2" s="74"/>
    </row>
    <row r="3" spans="1:18" ht="12" customHeight="1" x14ac:dyDescent="0.2">
      <c r="A3" s="118"/>
      <c r="B3" s="119"/>
      <c r="C3" s="119"/>
      <c r="D3" s="119"/>
      <c r="E3" s="119"/>
      <c r="F3" s="119"/>
      <c r="G3" s="119"/>
      <c r="H3" s="119"/>
      <c r="J3" t="s">
        <v>509</v>
      </c>
      <c r="K3" s="21">
        <f>SUM(M9:M144)</f>
        <v>462.25</v>
      </c>
      <c r="L3" s="74"/>
      <c r="M3" s="74"/>
      <c r="N3" s="74"/>
      <c r="O3" s="74"/>
      <c r="P3" s="74"/>
    </row>
    <row r="4" spans="1:18" ht="12" customHeight="1" x14ac:dyDescent="0.2">
      <c r="A4" s="114" t="s">
        <v>239</v>
      </c>
      <c r="B4" s="113"/>
      <c r="C4" s="113"/>
      <c r="D4" s="113"/>
      <c r="E4" s="113"/>
      <c r="F4" s="113"/>
      <c r="G4" s="113"/>
      <c r="H4" s="113"/>
      <c r="J4" t="s">
        <v>510</v>
      </c>
      <c r="K4" s="21">
        <f>K2-K3</f>
        <v>0</v>
      </c>
    </row>
    <row r="5" spans="1:18" ht="12" customHeight="1" x14ac:dyDescent="0.2">
      <c r="A5" s="9" t="s">
        <v>3</v>
      </c>
      <c r="B5" s="10" t="str">
        <f>CONCATENATE(Header!$E$4,"Lanyon")</f>
        <v>MC-250816Lanyon</v>
      </c>
      <c r="C5" s="8"/>
      <c r="D5" s="8"/>
      <c r="E5" s="8"/>
      <c r="J5" s="115" t="s">
        <v>15</v>
      </c>
      <c r="K5" s="115"/>
      <c r="L5" s="115"/>
      <c r="M5" s="115"/>
      <c r="N5" s="115"/>
      <c r="O5" s="115"/>
      <c r="P5" s="115"/>
      <c r="Q5" s="115"/>
    </row>
    <row r="6" spans="1:18" ht="12" customHeight="1" x14ac:dyDescent="0.2">
      <c r="A6" s="9" t="s">
        <v>5</v>
      </c>
      <c r="B6" s="12">
        <f>Header!$E$5</f>
        <v>45885</v>
      </c>
      <c r="C6" s="8"/>
      <c r="D6" s="8"/>
      <c r="E6" s="116" t="s">
        <v>16</v>
      </c>
      <c r="F6" s="116"/>
      <c r="G6" s="116"/>
      <c r="H6" s="111"/>
    </row>
    <row r="7" spans="1:18" ht="12" customHeight="1" thickBot="1" x14ac:dyDescent="0.25">
      <c r="A7" s="11"/>
      <c r="B7" s="8"/>
      <c r="C7" s="8"/>
      <c r="D7" s="8"/>
      <c r="E7" s="117"/>
      <c r="F7" s="117"/>
      <c r="G7" s="117"/>
      <c r="H7" s="112"/>
    </row>
    <row r="8" spans="1:18" ht="45.75" thickBot="1" x14ac:dyDescent="0.25">
      <c r="A8" s="32" t="s">
        <v>17</v>
      </c>
      <c r="B8" s="33" t="s">
        <v>18</v>
      </c>
      <c r="C8" s="33" t="s">
        <v>19</v>
      </c>
      <c r="D8" s="33" t="s">
        <v>20</v>
      </c>
      <c r="E8" s="19" t="s">
        <v>36</v>
      </c>
      <c r="F8" s="16" t="s">
        <v>22</v>
      </c>
      <c r="G8" s="17" t="s">
        <v>23</v>
      </c>
      <c r="H8" s="33" t="s">
        <v>24</v>
      </c>
      <c r="J8" s="32" t="s">
        <v>25</v>
      </c>
      <c r="K8" s="33" t="s">
        <v>3</v>
      </c>
      <c r="L8" s="33" t="s">
        <v>26</v>
      </c>
      <c r="M8" s="33" t="s">
        <v>27</v>
      </c>
      <c r="N8" s="34" t="s">
        <v>28</v>
      </c>
      <c r="O8" s="34" t="s">
        <v>29</v>
      </c>
      <c r="P8" s="34" t="s">
        <v>30</v>
      </c>
      <c r="R8" s="90" t="s">
        <v>511</v>
      </c>
    </row>
    <row r="9" spans="1:18" ht="15.75" thickBot="1" x14ac:dyDescent="0.25">
      <c r="A9" s="45">
        <v>45874</v>
      </c>
      <c r="B9" s="45" t="s">
        <v>39</v>
      </c>
      <c r="C9" s="46">
        <v>27.46</v>
      </c>
      <c r="D9" s="46"/>
      <c r="E9" s="14"/>
      <c r="F9" s="49">
        <v>1054</v>
      </c>
      <c r="G9" s="15" t="s">
        <v>568</v>
      </c>
      <c r="H9" s="46"/>
      <c r="J9" s="51" t="str">
        <f t="shared" ref="J9" si="0">IF(F9&gt;0,(_xlfn.CONCAT(F9,".",G9)),H9)</f>
        <v>1054.cons</v>
      </c>
      <c r="K9" s="52" t="str">
        <f>_xlfn.CONCAT("A Lanyon-",(LEFT(B9,15)),"-",E9)</f>
        <v>A Lanyon-OFFICEWORKS 036-</v>
      </c>
      <c r="L9" s="52" t="s">
        <v>32</v>
      </c>
      <c r="M9" s="53">
        <f>IF(C9&gt;0,C9,-D9)</f>
        <v>27.46</v>
      </c>
      <c r="N9" s="54" t="s">
        <v>33</v>
      </c>
      <c r="O9" s="44"/>
      <c r="P9" s="55"/>
      <c r="Q9" t="s">
        <v>34</v>
      </c>
      <c r="R9" s="21">
        <f>LEN(K9)</f>
        <v>25</v>
      </c>
    </row>
    <row r="10" spans="1:18" ht="15.75" thickBot="1" x14ac:dyDescent="0.25">
      <c r="A10" s="47">
        <v>45863</v>
      </c>
      <c r="B10" s="47" t="s">
        <v>42</v>
      </c>
      <c r="C10" s="48">
        <v>11.21</v>
      </c>
      <c r="D10" s="48"/>
      <c r="E10" s="13" t="s">
        <v>563</v>
      </c>
      <c r="F10" s="13" t="s">
        <v>564</v>
      </c>
      <c r="G10" s="50" t="s">
        <v>359</v>
      </c>
      <c r="H10" s="48"/>
      <c r="J10" s="51" t="str">
        <f t="shared" ref="J10:J24" si="1">IF(F10&gt;0,(_xlfn.CONCAT(F10,".",G10)),H10)</f>
        <v>S16858.TRVP</v>
      </c>
      <c r="K10" s="52" t="str">
        <f t="shared" ref="K10:K24" si="2">_xlfn.CONCAT("A Lanyon-",(LEFT(B10,15)),"-",E10)</f>
        <v>A Lanyon-UBER *TRIP HELP-Blackjack Trip</v>
      </c>
      <c r="L10" s="52" t="s">
        <v>32</v>
      </c>
      <c r="M10" s="53">
        <f t="shared" ref="M10:M24" si="3">IF(C10&gt;0,C10,-D10)</f>
        <v>11.21</v>
      </c>
      <c r="N10" s="54" t="s">
        <v>33</v>
      </c>
      <c r="O10" s="44"/>
      <c r="P10" s="54"/>
      <c r="R10" s="21">
        <f t="shared" ref="R10:R35" si="4">LEN(K10)</f>
        <v>39</v>
      </c>
    </row>
    <row r="11" spans="1:18" ht="15.75" thickBot="1" x14ac:dyDescent="0.25">
      <c r="A11" s="47">
        <v>45862</v>
      </c>
      <c r="B11" s="47" t="s">
        <v>240</v>
      </c>
      <c r="C11" s="48">
        <v>44.74</v>
      </c>
      <c r="D11" s="48"/>
      <c r="E11" s="13" t="s">
        <v>563</v>
      </c>
      <c r="F11" s="13" t="s">
        <v>564</v>
      </c>
      <c r="G11" s="13" t="s">
        <v>359</v>
      </c>
      <c r="H11" s="48"/>
      <c r="J11" s="51" t="str">
        <f t="shared" si="1"/>
        <v>S16858.TRVP</v>
      </c>
      <c r="K11" s="52" t="str">
        <f t="shared" si="2"/>
        <v>A Lanyon-CALTEX CLUDEN C-Blackjack Trip</v>
      </c>
      <c r="L11" s="52" t="s">
        <v>32</v>
      </c>
      <c r="M11" s="53">
        <f t="shared" si="3"/>
        <v>44.74</v>
      </c>
      <c r="N11" s="54" t="s">
        <v>33</v>
      </c>
      <c r="O11" s="44"/>
      <c r="P11" s="54"/>
      <c r="R11" s="21">
        <f t="shared" si="4"/>
        <v>39</v>
      </c>
    </row>
    <row r="12" spans="1:18" ht="15.75" thickBot="1" x14ac:dyDescent="0.25">
      <c r="A12" s="47">
        <v>45862</v>
      </c>
      <c r="B12" s="47" t="s">
        <v>241</v>
      </c>
      <c r="C12" s="48">
        <v>20.74</v>
      </c>
      <c r="D12" s="48"/>
      <c r="E12" s="13" t="s">
        <v>563</v>
      </c>
      <c r="F12" s="13" t="s">
        <v>564</v>
      </c>
      <c r="G12" s="50" t="s">
        <v>359</v>
      </c>
      <c r="H12" s="48"/>
      <c r="J12" s="51" t="str">
        <f t="shared" si="1"/>
        <v>S16858.TRVP</v>
      </c>
      <c r="K12" s="52" t="str">
        <f t="shared" si="2"/>
        <v>A Lanyon-HANNAS - MELB A-Blackjack Trip</v>
      </c>
      <c r="L12" s="52" t="s">
        <v>32</v>
      </c>
      <c r="M12" s="53">
        <f t="shared" si="3"/>
        <v>20.74</v>
      </c>
      <c r="N12" s="54" t="s">
        <v>33</v>
      </c>
      <c r="O12" s="44"/>
      <c r="P12" s="54"/>
      <c r="R12" s="21">
        <f t="shared" si="4"/>
        <v>39</v>
      </c>
    </row>
    <row r="13" spans="1:18" ht="15.75" thickBot="1" x14ac:dyDescent="0.25">
      <c r="A13" s="47">
        <v>45860</v>
      </c>
      <c r="B13" s="47" t="s">
        <v>242</v>
      </c>
      <c r="C13" s="48">
        <v>23.4</v>
      </c>
      <c r="D13" s="48"/>
      <c r="E13" s="13" t="s">
        <v>563</v>
      </c>
      <c r="F13" s="13" t="s">
        <v>564</v>
      </c>
      <c r="G13" s="50" t="s">
        <v>359</v>
      </c>
      <c r="H13" s="48"/>
      <c r="J13" s="51" t="str">
        <f t="shared" si="1"/>
        <v>S16858.TRVP</v>
      </c>
      <c r="K13" s="52" t="str">
        <f t="shared" si="2"/>
        <v>A Lanyon-WOOLWORTHS     -Blackjack Trip</v>
      </c>
      <c r="L13" s="52" t="s">
        <v>32</v>
      </c>
      <c r="M13" s="53">
        <f t="shared" si="3"/>
        <v>23.4</v>
      </c>
      <c r="N13" s="54" t="s">
        <v>33</v>
      </c>
      <c r="O13" s="44"/>
      <c r="P13" s="54"/>
      <c r="R13" s="21">
        <f t="shared" si="4"/>
        <v>39</v>
      </c>
    </row>
    <row r="14" spans="1:18" ht="15.75" thickBot="1" x14ac:dyDescent="0.25">
      <c r="A14" s="47">
        <v>45859</v>
      </c>
      <c r="B14" s="47" t="s">
        <v>243</v>
      </c>
      <c r="C14" s="48">
        <v>46.8</v>
      </c>
      <c r="D14" s="48"/>
      <c r="E14" s="13" t="s">
        <v>563</v>
      </c>
      <c r="F14" s="13" t="s">
        <v>564</v>
      </c>
      <c r="G14" s="50" t="s">
        <v>359</v>
      </c>
      <c r="H14" s="48"/>
      <c r="J14" s="51" t="str">
        <f t="shared" si="1"/>
        <v>S16858.TRVP</v>
      </c>
      <c r="K14" s="52" t="str">
        <f t="shared" si="2"/>
        <v>A Lanyon-SOVEREIGN TAVER-Blackjack Trip</v>
      </c>
      <c r="L14" s="52" t="s">
        <v>32</v>
      </c>
      <c r="M14" s="53">
        <f t="shared" si="3"/>
        <v>46.8</v>
      </c>
      <c r="N14" s="54" t="s">
        <v>33</v>
      </c>
      <c r="O14" s="44"/>
      <c r="P14" s="54"/>
      <c r="R14" s="21">
        <f t="shared" si="4"/>
        <v>39</v>
      </c>
    </row>
    <row r="15" spans="1:18" ht="15.75" thickBot="1" x14ac:dyDescent="0.25">
      <c r="A15" s="47">
        <v>45859</v>
      </c>
      <c r="B15" s="47" t="s">
        <v>243</v>
      </c>
      <c r="C15" s="48">
        <v>14.9</v>
      </c>
      <c r="D15" s="48"/>
      <c r="E15" s="13" t="s">
        <v>563</v>
      </c>
      <c r="F15" s="13" t="s">
        <v>564</v>
      </c>
      <c r="G15" s="50" t="s">
        <v>359</v>
      </c>
      <c r="H15" s="48"/>
      <c r="J15" s="51" t="str">
        <f t="shared" si="1"/>
        <v>S16858.TRVP</v>
      </c>
      <c r="K15" s="52" t="str">
        <f t="shared" si="2"/>
        <v>A Lanyon-SOVEREIGN TAVER-Blackjack Trip</v>
      </c>
      <c r="L15" s="52" t="s">
        <v>32</v>
      </c>
      <c r="M15" s="53">
        <f t="shared" si="3"/>
        <v>14.9</v>
      </c>
      <c r="N15" s="54" t="s">
        <v>33</v>
      </c>
      <c r="O15" s="44"/>
      <c r="P15" s="54"/>
      <c r="R15" s="21">
        <f t="shared" si="4"/>
        <v>39</v>
      </c>
    </row>
    <row r="16" spans="1:18" ht="15.75" thickBot="1" x14ac:dyDescent="0.25">
      <c r="A16" s="47">
        <v>45858</v>
      </c>
      <c r="B16" s="47" t="s">
        <v>244</v>
      </c>
      <c r="C16" s="48">
        <v>22.74</v>
      </c>
      <c r="D16" s="48"/>
      <c r="E16" s="13" t="s">
        <v>563</v>
      </c>
      <c r="F16" s="13" t="s">
        <v>564</v>
      </c>
      <c r="G16" s="50" t="s">
        <v>359</v>
      </c>
      <c r="H16" s="48"/>
      <c r="J16" s="51" t="str">
        <f t="shared" si="1"/>
        <v>S16858.TRVP</v>
      </c>
      <c r="K16" s="52" t="str">
        <f t="shared" si="2"/>
        <v>A Lanyon-C-TOWERS PTY LT-Blackjack Trip</v>
      </c>
      <c r="L16" s="52" t="s">
        <v>32</v>
      </c>
      <c r="M16" s="53">
        <f t="shared" si="3"/>
        <v>22.74</v>
      </c>
      <c r="N16" s="54" t="s">
        <v>33</v>
      </c>
      <c r="O16" s="44"/>
      <c r="P16" s="54"/>
      <c r="R16" s="21">
        <f t="shared" si="4"/>
        <v>39</v>
      </c>
    </row>
    <row r="17" spans="1:18" ht="15.75" thickBot="1" x14ac:dyDescent="0.25">
      <c r="A17" s="47">
        <v>45858</v>
      </c>
      <c r="B17" s="47" t="s">
        <v>245</v>
      </c>
      <c r="C17" s="48">
        <v>29</v>
      </c>
      <c r="D17" s="48"/>
      <c r="E17" s="13" t="s">
        <v>563</v>
      </c>
      <c r="F17" s="13" t="s">
        <v>564</v>
      </c>
      <c r="G17" s="50" t="s">
        <v>359</v>
      </c>
      <c r="H17" s="48"/>
      <c r="J17" s="51" t="str">
        <f t="shared" si="1"/>
        <v>S16858.TRVP</v>
      </c>
      <c r="K17" s="52" t="str">
        <f t="shared" si="2"/>
        <v>A Lanyon-Star Charters I-Blackjack Trip</v>
      </c>
      <c r="L17" s="52" t="s">
        <v>32</v>
      </c>
      <c r="M17" s="53">
        <f t="shared" si="3"/>
        <v>29</v>
      </c>
      <c r="N17" s="54" t="s">
        <v>33</v>
      </c>
      <c r="O17" s="44"/>
      <c r="P17" s="54"/>
      <c r="R17" s="21">
        <f t="shared" si="4"/>
        <v>39</v>
      </c>
    </row>
    <row r="18" spans="1:18" ht="15.75" thickBot="1" x14ac:dyDescent="0.25">
      <c r="A18" s="47">
        <v>45857</v>
      </c>
      <c r="B18" s="47" t="s">
        <v>246</v>
      </c>
      <c r="C18" s="48">
        <v>17.5</v>
      </c>
      <c r="D18" s="48"/>
      <c r="E18" s="13" t="s">
        <v>563</v>
      </c>
      <c r="F18" s="13" t="s">
        <v>564</v>
      </c>
      <c r="G18" s="50" t="s">
        <v>359</v>
      </c>
      <c r="H18" s="48"/>
      <c r="J18" s="51" t="str">
        <f t="shared" si="1"/>
        <v>S16858.TRVP</v>
      </c>
      <c r="K18" s="52" t="str">
        <f t="shared" si="2"/>
        <v>A Lanyon-RED ROOSTER CHA-Blackjack Trip</v>
      </c>
      <c r="L18" s="52" t="s">
        <v>32</v>
      </c>
      <c r="M18" s="53">
        <f t="shared" si="3"/>
        <v>17.5</v>
      </c>
      <c r="N18" s="54" t="s">
        <v>33</v>
      </c>
      <c r="O18" s="44"/>
      <c r="P18" s="54"/>
      <c r="R18" s="21">
        <f t="shared" si="4"/>
        <v>39</v>
      </c>
    </row>
    <row r="19" spans="1:18" ht="15.75" thickBot="1" x14ac:dyDescent="0.25">
      <c r="A19" s="47">
        <v>45856</v>
      </c>
      <c r="B19" s="47" t="s">
        <v>247</v>
      </c>
      <c r="C19" s="48">
        <v>18.3</v>
      </c>
      <c r="D19" s="48"/>
      <c r="E19" s="13" t="s">
        <v>563</v>
      </c>
      <c r="F19" s="13" t="s">
        <v>564</v>
      </c>
      <c r="G19" s="50" t="s">
        <v>359</v>
      </c>
      <c r="H19" s="48"/>
      <c r="J19" s="51" t="str">
        <f t="shared" si="1"/>
        <v>S16858.TRVP</v>
      </c>
      <c r="K19" s="52" t="str">
        <f t="shared" si="2"/>
        <v>A Lanyon-MCDONALDS FAIRF-Blackjack Trip</v>
      </c>
      <c r="L19" s="52" t="s">
        <v>32</v>
      </c>
      <c r="M19" s="53">
        <f t="shared" si="3"/>
        <v>18.3</v>
      </c>
      <c r="N19" s="54" t="s">
        <v>33</v>
      </c>
      <c r="O19" s="44"/>
      <c r="P19" s="54"/>
      <c r="R19" s="21">
        <f t="shared" si="4"/>
        <v>39</v>
      </c>
    </row>
    <row r="20" spans="1:18" ht="15.75" thickBot="1" x14ac:dyDescent="0.25">
      <c r="A20" s="47">
        <v>45856</v>
      </c>
      <c r="B20" s="47" t="s">
        <v>248</v>
      </c>
      <c r="C20" s="48">
        <v>23</v>
      </c>
      <c r="D20" s="48"/>
      <c r="E20" s="13" t="s">
        <v>563</v>
      </c>
      <c r="F20" s="13" t="s">
        <v>564</v>
      </c>
      <c r="G20" s="50" t="s">
        <v>359</v>
      </c>
      <c r="H20" s="48"/>
      <c r="J20" s="51" t="str">
        <f t="shared" si="1"/>
        <v>S16858.TRVP</v>
      </c>
      <c r="K20" s="52" t="str">
        <f t="shared" si="2"/>
        <v>A Lanyon-DELAWARE NORTH -Blackjack Trip</v>
      </c>
      <c r="L20" s="52" t="s">
        <v>32</v>
      </c>
      <c r="M20" s="53">
        <f t="shared" si="3"/>
        <v>23</v>
      </c>
      <c r="N20" s="54" t="s">
        <v>33</v>
      </c>
      <c r="O20" s="44"/>
      <c r="P20" s="54"/>
      <c r="R20" s="21">
        <f t="shared" si="4"/>
        <v>39</v>
      </c>
    </row>
    <row r="21" spans="1:18" ht="15.75" thickBot="1" x14ac:dyDescent="0.25">
      <c r="A21" s="47">
        <v>45856</v>
      </c>
      <c r="B21" s="47" t="s">
        <v>242</v>
      </c>
      <c r="C21" s="48">
        <v>32.64</v>
      </c>
      <c r="D21" s="48"/>
      <c r="E21" s="13" t="s">
        <v>563</v>
      </c>
      <c r="F21" s="13" t="s">
        <v>564</v>
      </c>
      <c r="G21" s="50" t="s">
        <v>359</v>
      </c>
      <c r="H21" s="48"/>
      <c r="J21" s="51" t="str">
        <f t="shared" si="1"/>
        <v>S16858.TRVP</v>
      </c>
      <c r="K21" s="52" t="str">
        <f t="shared" si="2"/>
        <v>A Lanyon-WOOLWORTHS     -Blackjack Trip</v>
      </c>
      <c r="L21" s="52" t="s">
        <v>32</v>
      </c>
      <c r="M21" s="53">
        <f t="shared" si="3"/>
        <v>32.64</v>
      </c>
      <c r="N21" s="54" t="s">
        <v>33</v>
      </c>
      <c r="O21" s="44"/>
      <c r="P21" s="54"/>
      <c r="R21" s="21">
        <f t="shared" si="4"/>
        <v>39</v>
      </c>
    </row>
    <row r="22" spans="1:18" ht="15.75" thickBot="1" x14ac:dyDescent="0.25">
      <c r="A22" s="47">
        <v>45856</v>
      </c>
      <c r="B22" s="47" t="s">
        <v>42</v>
      </c>
      <c r="C22" s="48">
        <v>10.82</v>
      </c>
      <c r="D22" s="48"/>
      <c r="E22" s="13" t="s">
        <v>563</v>
      </c>
      <c r="F22" s="13" t="s">
        <v>564</v>
      </c>
      <c r="G22" s="50" t="s">
        <v>359</v>
      </c>
      <c r="H22" s="48"/>
      <c r="J22" s="51" t="str">
        <f t="shared" si="1"/>
        <v>S16858.TRVP</v>
      </c>
      <c r="K22" s="52" t="str">
        <f t="shared" si="2"/>
        <v>A Lanyon-UBER *TRIP HELP-Blackjack Trip</v>
      </c>
      <c r="L22" s="52" t="s">
        <v>32</v>
      </c>
      <c r="M22" s="53">
        <f t="shared" si="3"/>
        <v>10.82</v>
      </c>
      <c r="N22" s="54" t="s">
        <v>33</v>
      </c>
      <c r="O22" s="44"/>
      <c r="P22" s="54"/>
      <c r="R22" s="21">
        <f t="shared" si="4"/>
        <v>39</v>
      </c>
    </row>
    <row r="23" spans="1:18" ht="15.75" thickBot="1" x14ac:dyDescent="0.25">
      <c r="A23" s="47">
        <v>45856</v>
      </c>
      <c r="B23" s="47" t="s">
        <v>249</v>
      </c>
      <c r="C23" s="48">
        <v>29</v>
      </c>
      <c r="D23" s="48"/>
      <c r="E23" s="13" t="s">
        <v>563</v>
      </c>
      <c r="F23" s="13" t="s">
        <v>564</v>
      </c>
      <c r="G23" s="50" t="s">
        <v>359</v>
      </c>
      <c r="H23" s="48"/>
      <c r="J23" s="51" t="str">
        <f t="shared" si="1"/>
        <v>S16858.TRVP</v>
      </c>
      <c r="K23" s="52" t="str">
        <f t="shared" si="2"/>
        <v>A Lanyon-StarLiquor Town-Blackjack Trip</v>
      </c>
      <c r="L23" s="52" t="s">
        <v>32</v>
      </c>
      <c r="M23" s="53">
        <f t="shared" si="3"/>
        <v>29</v>
      </c>
      <c r="N23" s="54" t="s">
        <v>33</v>
      </c>
      <c r="O23" s="44"/>
      <c r="P23" s="54"/>
      <c r="R23" s="21">
        <f t="shared" si="4"/>
        <v>39</v>
      </c>
    </row>
    <row r="24" spans="1:18" ht="15.75" thickBot="1" x14ac:dyDescent="0.25">
      <c r="A24" s="47">
        <v>45855</v>
      </c>
      <c r="B24" s="47" t="s">
        <v>160</v>
      </c>
      <c r="C24" s="48">
        <v>90</v>
      </c>
      <c r="D24" s="48"/>
      <c r="E24" s="13" t="s">
        <v>563</v>
      </c>
      <c r="F24" s="13" t="s">
        <v>564</v>
      </c>
      <c r="G24" s="50" t="s">
        <v>359</v>
      </c>
      <c r="H24" s="48"/>
      <c r="J24" s="51" t="str">
        <f t="shared" si="1"/>
        <v>S16858.TRVP</v>
      </c>
      <c r="K24" s="52" t="str">
        <f t="shared" si="2"/>
        <v>A Lanyon-Airport Shuttle-Blackjack Trip</v>
      </c>
      <c r="L24" s="52" t="s">
        <v>32</v>
      </c>
      <c r="M24" s="53">
        <f t="shared" si="3"/>
        <v>90</v>
      </c>
      <c r="N24" s="54" t="s">
        <v>33</v>
      </c>
      <c r="O24" s="44"/>
      <c r="P24" s="54"/>
      <c r="R24" s="21">
        <f t="shared" si="4"/>
        <v>39</v>
      </c>
    </row>
    <row r="25" spans="1:18" x14ac:dyDescent="0.2">
      <c r="R25" s="21">
        <f t="shared" si="4"/>
        <v>0</v>
      </c>
    </row>
    <row r="26" spans="1:18" x14ac:dyDescent="0.2">
      <c r="R26" s="21">
        <f t="shared" si="4"/>
        <v>0</v>
      </c>
    </row>
    <row r="27" spans="1:18" x14ac:dyDescent="0.2">
      <c r="R27" s="21">
        <f t="shared" si="4"/>
        <v>0</v>
      </c>
    </row>
    <row r="28" spans="1:18" x14ac:dyDescent="0.2">
      <c r="R28" s="21">
        <f t="shared" si="4"/>
        <v>0</v>
      </c>
    </row>
    <row r="29" spans="1:18" x14ac:dyDescent="0.2">
      <c r="R29" s="21">
        <f t="shared" si="4"/>
        <v>0</v>
      </c>
    </row>
    <row r="30" spans="1:18" x14ac:dyDescent="0.2">
      <c r="R30" s="21">
        <f t="shared" si="4"/>
        <v>0</v>
      </c>
    </row>
    <row r="31" spans="1:18" x14ac:dyDescent="0.2">
      <c r="R31" s="21">
        <f t="shared" si="4"/>
        <v>0</v>
      </c>
    </row>
    <row r="32" spans="1:18" x14ac:dyDescent="0.2">
      <c r="R32" s="21">
        <f t="shared" si="4"/>
        <v>0</v>
      </c>
    </row>
    <row r="33" spans="18:18" x14ac:dyDescent="0.2">
      <c r="R33" s="21">
        <f t="shared" si="4"/>
        <v>0</v>
      </c>
    </row>
    <row r="34" spans="18:18" x14ac:dyDescent="0.2">
      <c r="R34" s="21">
        <f t="shared" si="4"/>
        <v>0</v>
      </c>
    </row>
    <row r="35" spans="18:18" x14ac:dyDescent="0.2">
      <c r="R35" s="21">
        <f t="shared" si="4"/>
        <v>0</v>
      </c>
    </row>
  </sheetData>
  <mergeCells count="5">
    <mergeCell ref="J1:P1"/>
    <mergeCell ref="A4:H4"/>
    <mergeCell ref="J5:Q5"/>
    <mergeCell ref="A1:H3"/>
    <mergeCell ref="E6:G7"/>
  </mergeCells>
  <conditionalFormatting sqref="B16:B48">
    <cfRule type="cellIs" dxfId="13" priority="1" operator="lessThan">
      <formula>0</formula>
    </cfRule>
  </conditionalFormatting>
  <dataValidations count="1">
    <dataValidation type="list" allowBlank="1" showInputMessage="1" showErrorMessage="1" sqref="C16:C48" xr:uid="{B35DEF81-11C7-408A-A08F-EF409F5D25C8}">
      <formula1>"GST 10%, GST FREE"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5" tint="0.79998168889431442"/>
  </sheetPr>
  <dimension ref="A1:R35"/>
  <sheetViews>
    <sheetView workbookViewId="0">
      <selection activeCell="J9" sqref="J9:P10"/>
    </sheetView>
  </sheetViews>
  <sheetFormatPr defaultRowHeight="12.75" x14ac:dyDescent="0.2"/>
  <cols>
    <col min="1" max="1" width="17.42578125" style="3" customWidth="1"/>
    <col min="2" max="2" width="47.42578125" customWidth="1"/>
    <col min="3" max="3" width="13.5703125" customWidth="1"/>
    <col min="4" max="4" width="16.42578125" customWidth="1"/>
    <col min="5" max="5" width="11.85546875" customWidth="1"/>
    <col min="6" max="6" width="14.140625" bestFit="1" customWidth="1"/>
    <col min="7" max="7" width="13.42578125" bestFit="1" customWidth="1"/>
    <col min="8" max="8" width="15.5703125" customWidth="1"/>
    <col min="9" max="9" width="2.42578125" customWidth="1"/>
    <col min="10" max="10" width="21.85546875" bestFit="1" customWidth="1"/>
    <col min="11" max="11" width="19.42578125" bestFit="1" customWidth="1"/>
    <col min="12" max="12" width="4" bestFit="1" customWidth="1"/>
    <col min="15" max="15" width="21.42578125" customWidth="1"/>
    <col min="16" max="16" width="15.85546875" customWidth="1"/>
  </cols>
  <sheetData>
    <row r="1" spans="1:18" ht="12" customHeight="1" x14ac:dyDescent="0.2">
      <c r="A1" s="118" t="s">
        <v>12</v>
      </c>
      <c r="B1" s="119"/>
      <c r="C1" s="119"/>
      <c r="D1" s="119"/>
      <c r="E1" s="119"/>
      <c r="F1" s="119"/>
      <c r="G1" s="119"/>
      <c r="H1" s="119"/>
      <c r="J1" s="113" t="s">
        <v>13</v>
      </c>
      <c r="K1" s="113"/>
      <c r="L1" s="113"/>
      <c r="M1" s="113"/>
      <c r="N1" s="113"/>
      <c r="O1" s="113"/>
      <c r="P1" s="113"/>
    </row>
    <row r="2" spans="1:18" ht="12" customHeight="1" x14ac:dyDescent="0.2">
      <c r="A2" s="118"/>
      <c r="B2" s="119"/>
      <c r="C2" s="119"/>
      <c r="D2" s="119"/>
      <c r="E2" s="119"/>
      <c r="F2" s="119"/>
      <c r="G2" s="119"/>
      <c r="H2" s="119"/>
      <c r="J2" s="74" t="s">
        <v>508</v>
      </c>
      <c r="K2" s="88">
        <v>253.42</v>
      </c>
      <c r="L2" s="74"/>
      <c r="M2" s="74"/>
      <c r="N2" s="74"/>
      <c r="O2" s="74"/>
      <c r="P2" s="74"/>
    </row>
    <row r="3" spans="1:18" ht="12" customHeight="1" x14ac:dyDescent="0.2">
      <c r="A3" s="118"/>
      <c r="B3" s="119"/>
      <c r="C3" s="119"/>
      <c r="D3" s="119"/>
      <c r="E3" s="119"/>
      <c r="F3" s="119"/>
      <c r="G3" s="119"/>
      <c r="H3" s="119"/>
      <c r="J3" t="s">
        <v>509</v>
      </c>
      <c r="K3" s="21">
        <f>SUM(M9:M144)</f>
        <v>253.42000000000002</v>
      </c>
      <c r="L3" s="74"/>
      <c r="M3" s="74"/>
      <c r="N3" s="74"/>
      <c r="O3" s="74"/>
      <c r="P3" s="74"/>
    </row>
    <row r="4" spans="1:18" ht="12" customHeight="1" x14ac:dyDescent="0.2">
      <c r="A4" s="114" t="s">
        <v>250</v>
      </c>
      <c r="B4" s="113"/>
      <c r="C4" s="113"/>
      <c r="D4" s="113"/>
      <c r="E4" s="113"/>
      <c r="F4" s="113"/>
      <c r="G4" s="113"/>
      <c r="H4" s="113"/>
      <c r="J4" t="s">
        <v>510</v>
      </c>
      <c r="K4" s="21">
        <f>K2-K3</f>
        <v>0</v>
      </c>
    </row>
    <row r="5" spans="1:18" ht="12" customHeight="1" x14ac:dyDescent="0.2">
      <c r="A5" s="9" t="s">
        <v>3</v>
      </c>
      <c r="B5" s="10" t="str">
        <f>CONCATENATE(Header!$E$4,"ELG")</f>
        <v>MC-250816ELG</v>
      </c>
      <c r="C5" s="8"/>
      <c r="D5" s="8"/>
      <c r="E5" s="8"/>
      <c r="J5" s="115" t="s">
        <v>15</v>
      </c>
      <c r="K5" s="115"/>
      <c r="L5" s="115"/>
      <c r="M5" s="115"/>
      <c r="N5" s="115"/>
      <c r="O5" s="115"/>
      <c r="P5" s="115"/>
      <c r="Q5" s="115"/>
    </row>
    <row r="6" spans="1:18" ht="12" customHeight="1" x14ac:dyDescent="0.2">
      <c r="A6" s="9" t="s">
        <v>5</v>
      </c>
      <c r="B6" s="12">
        <f>Header!$E$5</f>
        <v>45885</v>
      </c>
      <c r="C6" s="8"/>
      <c r="D6" s="8"/>
      <c r="E6" s="116" t="s">
        <v>16</v>
      </c>
      <c r="F6" s="116"/>
      <c r="G6" s="116"/>
      <c r="H6" s="116"/>
    </row>
    <row r="7" spans="1:18" ht="12" customHeight="1" thickBot="1" x14ac:dyDescent="0.25">
      <c r="A7" s="11"/>
      <c r="B7" s="8"/>
      <c r="C7" s="8"/>
      <c r="D7" s="8"/>
      <c r="E7" s="117"/>
      <c r="F7" s="117"/>
      <c r="G7" s="117"/>
      <c r="H7" s="117"/>
    </row>
    <row r="8" spans="1:18" ht="45.75" thickBot="1" x14ac:dyDescent="0.25">
      <c r="A8" s="32" t="s">
        <v>17</v>
      </c>
      <c r="B8" s="33" t="s">
        <v>18</v>
      </c>
      <c r="C8" s="33" t="s">
        <v>19</v>
      </c>
      <c r="D8" s="33" t="s">
        <v>20</v>
      </c>
      <c r="E8" s="19" t="s">
        <v>36</v>
      </c>
      <c r="F8" s="16" t="s">
        <v>22</v>
      </c>
      <c r="G8" s="17" t="s">
        <v>23</v>
      </c>
      <c r="H8" s="18" t="s">
        <v>24</v>
      </c>
      <c r="J8" s="32" t="s">
        <v>25</v>
      </c>
      <c r="K8" s="33" t="s">
        <v>3</v>
      </c>
      <c r="L8" s="33" t="s">
        <v>26</v>
      </c>
      <c r="M8" s="33" t="s">
        <v>27</v>
      </c>
      <c r="N8" s="34" t="s">
        <v>28</v>
      </c>
      <c r="O8" s="34" t="s">
        <v>29</v>
      </c>
      <c r="P8" s="34" t="s">
        <v>30</v>
      </c>
      <c r="R8" s="90" t="s">
        <v>511</v>
      </c>
    </row>
    <row r="9" spans="1:18" ht="15.75" thickBot="1" x14ac:dyDescent="0.25">
      <c r="A9" s="45">
        <v>45861</v>
      </c>
      <c r="B9" s="45" t="s">
        <v>251</v>
      </c>
      <c r="C9" s="46">
        <v>175</v>
      </c>
      <c r="D9" s="46"/>
      <c r="E9" s="14" t="s">
        <v>252</v>
      </c>
      <c r="F9" s="49">
        <v>1084</v>
      </c>
      <c r="G9" s="14" t="s">
        <v>126</v>
      </c>
      <c r="H9" s="15"/>
      <c r="J9" s="51" t="str">
        <f t="shared" ref="J9:J10" si="0">IF(F9&gt;0,(_xlfn.CONCAT(F9,".",G9)),H9)</f>
        <v>1084.STAF</v>
      </c>
      <c r="K9" s="52" t="str">
        <f>_xlfn.CONCAT("ELewisGray-",(LEFT(B9,15)),"-",E9)</f>
        <v>ELewisGray-FLOWERSGILB 036-Flowers for M Gort</v>
      </c>
      <c r="L9" s="52" t="s">
        <v>32</v>
      </c>
      <c r="M9" s="53">
        <f>IF(C9&gt;0,C9,-D9)</f>
        <v>175</v>
      </c>
      <c r="N9" s="54" t="s">
        <v>33</v>
      </c>
      <c r="O9" s="44"/>
      <c r="P9" s="55"/>
      <c r="Q9" t="s">
        <v>34</v>
      </c>
      <c r="R9" s="21">
        <f>LEN(K9)</f>
        <v>45</v>
      </c>
    </row>
    <row r="10" spans="1:18" ht="15.75" thickBot="1" x14ac:dyDescent="0.25">
      <c r="A10" s="47">
        <v>45859</v>
      </c>
      <c r="B10" s="47" t="s">
        <v>253</v>
      </c>
      <c r="C10" s="48">
        <v>78.42</v>
      </c>
      <c r="D10" s="48"/>
      <c r="E10" s="13" t="s">
        <v>254</v>
      </c>
      <c r="F10" s="49">
        <v>1084</v>
      </c>
      <c r="G10" s="13" t="s">
        <v>255</v>
      </c>
      <c r="H10" s="50"/>
      <c r="J10" s="51" t="str">
        <f t="shared" si="0"/>
        <v>1084.pers</v>
      </c>
      <c r="K10" s="52" t="str">
        <f>_xlfn.CONCAT("ELewisGray-",(LEFT(B10,15)),"-",E10)</f>
        <v>ELewisGray-AVIS AUSTRALIA -Personal Use</v>
      </c>
      <c r="L10" s="52" t="s">
        <v>32</v>
      </c>
      <c r="M10" s="53">
        <f t="shared" ref="M10" si="1">IF(C10&gt;0,C10,-D10)</f>
        <v>78.42</v>
      </c>
      <c r="N10" s="54" t="s">
        <v>150</v>
      </c>
      <c r="O10" s="44"/>
      <c r="P10" s="54"/>
      <c r="R10" s="21">
        <f t="shared" ref="R10:R35" si="2">LEN(K10)</f>
        <v>39</v>
      </c>
    </row>
    <row r="11" spans="1:18" ht="15.75" thickBot="1" x14ac:dyDescent="0.25">
      <c r="A11" s="47"/>
      <c r="B11" s="47"/>
      <c r="C11" s="48"/>
      <c r="D11" s="48"/>
      <c r="E11" s="13"/>
      <c r="F11" s="50"/>
      <c r="G11" s="50"/>
      <c r="H11" s="13"/>
      <c r="J11" s="51"/>
      <c r="K11" s="52"/>
      <c r="L11" s="52"/>
      <c r="M11" s="53"/>
      <c r="N11" s="54"/>
      <c r="O11" s="44"/>
      <c r="P11" s="54"/>
      <c r="R11" s="21">
        <f t="shared" si="2"/>
        <v>0</v>
      </c>
    </row>
    <row r="12" spans="1:18" ht="15.75" thickBot="1" x14ac:dyDescent="0.25">
      <c r="A12" s="47"/>
      <c r="B12" s="47"/>
      <c r="C12" s="48"/>
      <c r="D12" s="48"/>
      <c r="E12" s="13"/>
      <c r="F12" s="13"/>
      <c r="G12" s="13"/>
      <c r="H12" s="50"/>
      <c r="J12" s="51"/>
      <c r="K12" s="52"/>
      <c r="L12" s="52"/>
      <c r="M12" s="53"/>
      <c r="N12" s="54"/>
      <c r="O12" s="44"/>
      <c r="P12" s="54"/>
      <c r="R12" s="21">
        <f t="shared" si="2"/>
        <v>0</v>
      </c>
    </row>
    <row r="13" spans="1:18" ht="15.75" thickBot="1" x14ac:dyDescent="0.25">
      <c r="A13" s="47"/>
      <c r="B13" s="47"/>
      <c r="C13" s="48"/>
      <c r="D13" s="48"/>
      <c r="E13" s="13"/>
      <c r="F13" s="13"/>
      <c r="G13" s="13"/>
      <c r="H13" s="13"/>
      <c r="J13" s="51"/>
      <c r="K13" s="52"/>
      <c r="L13" s="52"/>
      <c r="M13" s="53"/>
      <c r="N13" s="54"/>
      <c r="O13" s="44"/>
      <c r="P13" s="54"/>
      <c r="R13" s="21">
        <f t="shared" si="2"/>
        <v>0</v>
      </c>
    </row>
    <row r="14" spans="1:18" ht="15.75" thickBot="1" x14ac:dyDescent="0.25">
      <c r="A14" s="47"/>
      <c r="B14" s="47"/>
      <c r="C14" s="48"/>
      <c r="D14" s="48"/>
      <c r="E14" s="13"/>
      <c r="F14" s="13"/>
      <c r="G14" s="13"/>
      <c r="H14" s="13"/>
      <c r="J14" s="51"/>
      <c r="K14" s="52"/>
      <c r="L14" s="52"/>
      <c r="M14" s="53"/>
      <c r="N14" s="54"/>
      <c r="O14" s="44"/>
      <c r="P14" s="54"/>
      <c r="R14" s="21">
        <f t="shared" si="2"/>
        <v>0</v>
      </c>
    </row>
    <row r="15" spans="1:18" ht="15.75" thickBot="1" x14ac:dyDescent="0.25">
      <c r="A15" s="47"/>
      <c r="B15" s="47"/>
      <c r="C15" s="48"/>
      <c r="D15" s="48"/>
      <c r="E15" s="13"/>
      <c r="F15" s="13"/>
      <c r="G15" s="13"/>
      <c r="H15" s="13"/>
      <c r="J15" s="51"/>
      <c r="K15" s="52"/>
      <c r="L15" s="52"/>
      <c r="M15" s="53"/>
      <c r="N15" s="54"/>
      <c r="O15" s="44"/>
      <c r="P15" s="54"/>
      <c r="R15" s="21">
        <f t="shared" si="2"/>
        <v>0</v>
      </c>
    </row>
    <row r="16" spans="1:18" ht="15.75" thickBot="1" x14ac:dyDescent="0.25">
      <c r="A16" s="47"/>
      <c r="B16" s="47"/>
      <c r="C16" s="48"/>
      <c r="D16" s="48"/>
      <c r="E16" s="13"/>
      <c r="F16" s="13"/>
      <c r="G16" s="13"/>
      <c r="H16" s="13"/>
      <c r="J16" s="51"/>
      <c r="K16" s="52"/>
      <c r="L16" s="52"/>
      <c r="M16" s="53"/>
      <c r="N16" s="54"/>
      <c r="O16" s="44"/>
      <c r="P16" s="54"/>
      <c r="R16" s="21">
        <f t="shared" si="2"/>
        <v>0</v>
      </c>
    </row>
    <row r="17" spans="18:18" x14ac:dyDescent="0.2">
      <c r="R17" s="21">
        <f t="shared" si="2"/>
        <v>0</v>
      </c>
    </row>
    <row r="18" spans="18:18" x14ac:dyDescent="0.2">
      <c r="R18" s="21">
        <f t="shared" si="2"/>
        <v>0</v>
      </c>
    </row>
    <row r="19" spans="18:18" x14ac:dyDescent="0.2">
      <c r="R19" s="21">
        <f t="shared" si="2"/>
        <v>0</v>
      </c>
    </row>
    <row r="20" spans="18:18" x14ac:dyDescent="0.2">
      <c r="R20" s="21">
        <f t="shared" si="2"/>
        <v>0</v>
      </c>
    </row>
    <row r="21" spans="18:18" x14ac:dyDescent="0.2">
      <c r="R21" s="21">
        <f t="shared" si="2"/>
        <v>0</v>
      </c>
    </row>
    <row r="22" spans="18:18" x14ac:dyDescent="0.2">
      <c r="R22" s="21">
        <f t="shared" si="2"/>
        <v>0</v>
      </c>
    </row>
    <row r="23" spans="18:18" x14ac:dyDescent="0.2">
      <c r="R23" s="21">
        <f t="shared" si="2"/>
        <v>0</v>
      </c>
    </row>
    <row r="24" spans="18:18" x14ac:dyDescent="0.2">
      <c r="R24" s="21">
        <f t="shared" si="2"/>
        <v>0</v>
      </c>
    </row>
    <row r="25" spans="18:18" x14ac:dyDescent="0.2">
      <c r="R25" s="21">
        <f t="shared" si="2"/>
        <v>0</v>
      </c>
    </row>
    <row r="26" spans="18:18" x14ac:dyDescent="0.2">
      <c r="R26" s="21">
        <f t="shared" si="2"/>
        <v>0</v>
      </c>
    </row>
    <row r="27" spans="18:18" x14ac:dyDescent="0.2">
      <c r="R27" s="21">
        <f t="shared" si="2"/>
        <v>0</v>
      </c>
    </row>
    <row r="28" spans="18:18" x14ac:dyDescent="0.2">
      <c r="R28" s="21">
        <f t="shared" si="2"/>
        <v>0</v>
      </c>
    </row>
    <row r="29" spans="18:18" x14ac:dyDescent="0.2">
      <c r="R29" s="21">
        <f t="shared" si="2"/>
        <v>0</v>
      </c>
    </row>
    <row r="30" spans="18:18" x14ac:dyDescent="0.2">
      <c r="R30" s="21">
        <f t="shared" si="2"/>
        <v>0</v>
      </c>
    </row>
    <row r="31" spans="18:18" x14ac:dyDescent="0.2">
      <c r="R31" s="21">
        <f t="shared" si="2"/>
        <v>0</v>
      </c>
    </row>
    <row r="32" spans="18:18" x14ac:dyDescent="0.2">
      <c r="R32" s="21">
        <f t="shared" si="2"/>
        <v>0</v>
      </c>
    </row>
    <row r="33" spans="18:18" x14ac:dyDescent="0.2">
      <c r="R33" s="21">
        <f t="shared" si="2"/>
        <v>0</v>
      </c>
    </row>
    <row r="34" spans="18:18" x14ac:dyDescent="0.2">
      <c r="R34" s="21">
        <f t="shared" si="2"/>
        <v>0</v>
      </c>
    </row>
    <row r="35" spans="18:18" x14ac:dyDescent="0.2">
      <c r="R35" s="21">
        <f t="shared" si="2"/>
        <v>0</v>
      </c>
    </row>
  </sheetData>
  <mergeCells count="5">
    <mergeCell ref="J1:P1"/>
    <mergeCell ref="A4:H4"/>
    <mergeCell ref="J5:Q5"/>
    <mergeCell ref="E6:H7"/>
    <mergeCell ref="A1:H3"/>
  </mergeCells>
  <conditionalFormatting sqref="B16:B48">
    <cfRule type="cellIs" dxfId="12" priority="1" operator="lessThan">
      <formula>0</formula>
    </cfRule>
  </conditionalFormatting>
  <dataValidations count="1">
    <dataValidation type="list" allowBlank="1" showInputMessage="1" showErrorMessage="1" sqref="C16:C48" xr:uid="{D2DB3589-38BC-4708-8772-3C9DE0546BE2}">
      <formula1>"GST 10%, GST FREE"</formula1>
    </dataValidation>
  </dataValidation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9" tint="0.79998168889431442"/>
  </sheetPr>
  <dimension ref="A1:R38"/>
  <sheetViews>
    <sheetView workbookViewId="0">
      <selection sqref="A1:H3"/>
    </sheetView>
  </sheetViews>
  <sheetFormatPr defaultRowHeight="12.75" x14ac:dyDescent="0.2"/>
  <cols>
    <col min="1" max="1" width="17.42578125" style="3" customWidth="1"/>
    <col min="2" max="2" width="47.42578125" customWidth="1"/>
    <col min="3" max="3" width="13.5703125" customWidth="1"/>
    <col min="4" max="4" width="16.42578125" customWidth="1"/>
    <col min="5" max="5" width="21.5703125" bestFit="1" customWidth="1"/>
    <col min="6" max="6" width="14.140625" bestFit="1" customWidth="1"/>
    <col min="7" max="7" width="13.42578125" bestFit="1" customWidth="1"/>
    <col min="8" max="8" width="15.5703125" customWidth="1"/>
    <col min="9" max="9" width="2.42578125" customWidth="1"/>
    <col min="10" max="10" width="21.85546875" bestFit="1" customWidth="1"/>
    <col min="11" max="11" width="51.85546875" bestFit="1" customWidth="1"/>
    <col min="12" max="12" width="4" bestFit="1" customWidth="1"/>
    <col min="15" max="15" width="21.42578125" customWidth="1"/>
    <col min="16" max="16" width="15.85546875" customWidth="1"/>
  </cols>
  <sheetData>
    <row r="1" spans="1:18" ht="12" customHeight="1" x14ac:dyDescent="0.2">
      <c r="A1" s="118" t="s">
        <v>12</v>
      </c>
      <c r="B1" s="119"/>
      <c r="C1" s="119"/>
      <c r="D1" s="119"/>
      <c r="E1" s="119"/>
      <c r="F1" s="119"/>
      <c r="G1" s="119"/>
      <c r="H1" s="119"/>
      <c r="J1" s="113" t="s">
        <v>13</v>
      </c>
      <c r="K1" s="113"/>
      <c r="L1" s="113"/>
      <c r="M1" s="113"/>
      <c r="N1" s="113"/>
      <c r="O1" s="113"/>
      <c r="P1" s="113"/>
    </row>
    <row r="2" spans="1:18" ht="12" customHeight="1" x14ac:dyDescent="0.2">
      <c r="A2" s="118"/>
      <c r="B2" s="119"/>
      <c r="C2" s="119"/>
      <c r="D2" s="119"/>
      <c r="E2" s="119"/>
      <c r="F2" s="119"/>
      <c r="G2" s="119"/>
      <c r="H2" s="119"/>
      <c r="J2" s="74" t="s">
        <v>508</v>
      </c>
      <c r="K2" s="88">
        <v>3937</v>
      </c>
      <c r="L2" s="74"/>
      <c r="M2" s="74"/>
      <c r="N2" s="74"/>
      <c r="O2" s="74"/>
      <c r="P2" s="74"/>
    </row>
    <row r="3" spans="1:18" ht="12" customHeight="1" x14ac:dyDescent="0.2">
      <c r="A3" s="118"/>
      <c r="B3" s="119"/>
      <c r="C3" s="119"/>
      <c r="D3" s="119"/>
      <c r="E3" s="119"/>
      <c r="F3" s="119"/>
      <c r="G3" s="119"/>
      <c r="H3" s="119"/>
      <c r="J3" t="s">
        <v>509</v>
      </c>
      <c r="K3" s="21">
        <f>SUM(M9:M144)</f>
        <v>3936.9999999999995</v>
      </c>
      <c r="L3" s="74"/>
      <c r="M3" s="74"/>
      <c r="N3" s="74"/>
      <c r="O3" s="74"/>
      <c r="P3" s="74"/>
    </row>
    <row r="4" spans="1:18" ht="12" customHeight="1" x14ac:dyDescent="0.2">
      <c r="A4" s="114" t="s">
        <v>256</v>
      </c>
      <c r="B4" s="113"/>
      <c r="C4" s="113"/>
      <c r="D4" s="113"/>
      <c r="E4" s="113"/>
      <c r="F4" s="113"/>
      <c r="G4" s="113"/>
      <c r="H4" s="113"/>
      <c r="J4" t="s">
        <v>510</v>
      </c>
      <c r="K4" s="21">
        <f>K2-K3</f>
        <v>0</v>
      </c>
    </row>
    <row r="5" spans="1:18" ht="12" customHeight="1" x14ac:dyDescent="0.2">
      <c r="A5" s="9" t="s">
        <v>3</v>
      </c>
      <c r="B5" s="10" t="str">
        <f>CONCATENATE(Header!$E$4,"ALG")</f>
        <v>MC-250816ALG</v>
      </c>
      <c r="C5" s="8"/>
      <c r="D5" s="8"/>
      <c r="E5" s="8"/>
      <c r="J5" s="115" t="s">
        <v>15</v>
      </c>
      <c r="K5" s="115"/>
      <c r="L5" s="115"/>
      <c r="M5" s="115"/>
      <c r="N5" s="115"/>
      <c r="O5" s="115"/>
      <c r="P5" s="115"/>
      <c r="Q5" s="115"/>
    </row>
    <row r="6" spans="1:18" ht="12" customHeight="1" x14ac:dyDescent="0.2">
      <c r="A6" s="9" t="s">
        <v>5</v>
      </c>
      <c r="B6" s="12">
        <f>Header!$E$5</f>
        <v>45885</v>
      </c>
      <c r="C6" s="8"/>
      <c r="D6" s="8"/>
      <c r="E6" s="116" t="s">
        <v>16</v>
      </c>
      <c r="F6" s="116"/>
      <c r="G6" s="116"/>
      <c r="H6" s="116"/>
    </row>
    <row r="7" spans="1:18" ht="12" customHeight="1" thickBot="1" x14ac:dyDescent="0.25">
      <c r="A7" s="11"/>
      <c r="B7" s="8"/>
      <c r="C7" s="8"/>
      <c r="D7" s="8"/>
      <c r="E7" s="117"/>
      <c r="F7" s="117"/>
      <c r="G7" s="117"/>
      <c r="H7" s="117"/>
    </row>
    <row r="8" spans="1:18" ht="45.75" thickBot="1" x14ac:dyDescent="0.25">
      <c r="A8" s="32" t="s">
        <v>17</v>
      </c>
      <c r="B8" s="33" t="s">
        <v>18</v>
      </c>
      <c r="C8" s="33" t="s">
        <v>19</v>
      </c>
      <c r="D8" s="33" t="s">
        <v>20</v>
      </c>
      <c r="E8" s="19" t="s">
        <v>36</v>
      </c>
      <c r="F8" s="16" t="s">
        <v>22</v>
      </c>
      <c r="G8" s="17" t="s">
        <v>23</v>
      </c>
      <c r="H8" s="18" t="s">
        <v>24</v>
      </c>
      <c r="J8" s="32" t="s">
        <v>25</v>
      </c>
      <c r="K8" s="33" t="s">
        <v>3</v>
      </c>
      <c r="L8" s="33" t="s">
        <v>26</v>
      </c>
      <c r="M8" s="33" t="s">
        <v>27</v>
      </c>
      <c r="N8" s="34" t="s">
        <v>28</v>
      </c>
      <c r="O8" s="34" t="s">
        <v>29</v>
      </c>
      <c r="P8" s="34" t="s">
        <v>30</v>
      </c>
      <c r="R8" s="90" t="s">
        <v>511</v>
      </c>
    </row>
    <row r="9" spans="1:18" ht="15.75" thickBot="1" x14ac:dyDescent="0.25">
      <c r="A9" s="45">
        <v>45877</v>
      </c>
      <c r="B9" s="45" t="s">
        <v>257</v>
      </c>
      <c r="C9" s="46">
        <f>295.96/2</f>
        <v>147.97999999999999</v>
      </c>
      <c r="D9" s="46"/>
      <c r="E9" s="14" t="s">
        <v>575</v>
      </c>
      <c r="F9" s="72" t="s">
        <v>71</v>
      </c>
      <c r="G9" s="14" t="s">
        <v>232</v>
      </c>
      <c r="H9" s="15"/>
      <c r="J9" s="51" t="str">
        <f t="shared" ref="J9" si="0">IF(F9&gt;0,(_xlfn.CONCAT(F9,".",G9)),H9)</f>
        <v>1084.TRAV</v>
      </c>
      <c r="K9" s="52" t="str">
        <f>_xlfn.CONCAT("S Gray-",(LEFT(B9,15)),"-",E9)</f>
        <v xml:space="preserve">S Gray-BUDGET RENT A C-Peninsula Downs Trip / WA Gekko Sales Trip </v>
      </c>
      <c r="L9" s="52" t="s">
        <v>32</v>
      </c>
      <c r="M9" s="53">
        <f>IF(C9&gt;0,C9,-D9)</f>
        <v>147.97999999999999</v>
      </c>
      <c r="N9" s="54" t="s">
        <v>33</v>
      </c>
      <c r="O9" s="44"/>
      <c r="P9" s="55"/>
      <c r="R9" s="21">
        <f>LEN(K9)</f>
        <v>66</v>
      </c>
    </row>
    <row r="10" spans="1:18" ht="15.75" thickBot="1" x14ac:dyDescent="0.25">
      <c r="A10" s="45">
        <v>45877</v>
      </c>
      <c r="B10" s="45" t="s">
        <v>257</v>
      </c>
      <c r="C10" s="46">
        <f>295.96/2</f>
        <v>147.97999999999999</v>
      </c>
      <c r="D10" s="46"/>
      <c r="E10" s="14" t="s">
        <v>440</v>
      </c>
      <c r="F10" s="49" t="s">
        <v>507</v>
      </c>
      <c r="G10" s="14" t="s">
        <v>441</v>
      </c>
      <c r="H10" s="15"/>
      <c r="J10" s="51" t="str">
        <f t="shared" ref="J10:J38" si="1">IF(F10&gt;0,(_xlfn.CONCAT(F10,".",G10)),H10)</f>
        <v>1060GE2.MISC</v>
      </c>
      <c r="K10" s="52" t="str">
        <f t="shared" ref="K10:K38" si="2">_xlfn.CONCAT("S Gray-",(LEFT(B10,15)),"-",E10)</f>
        <v>S Gray-BUDGET RENT A C-G1145-Peninsula Downs Trip</v>
      </c>
      <c r="L10" s="52" t="s">
        <v>32</v>
      </c>
      <c r="M10" s="53">
        <f t="shared" ref="M10:M38" si="3">IF(C10&gt;0,C10,-D10)</f>
        <v>147.97999999999999</v>
      </c>
      <c r="N10" s="54" t="s">
        <v>33</v>
      </c>
      <c r="O10" s="44"/>
      <c r="P10" s="55"/>
      <c r="R10" s="21">
        <f t="shared" ref="R10:R38" si="4">LEN(K10)</f>
        <v>49</v>
      </c>
    </row>
    <row r="11" spans="1:18" ht="15.75" thickBot="1" x14ac:dyDescent="0.25">
      <c r="A11" s="47">
        <v>45877</v>
      </c>
      <c r="B11" s="47" t="s">
        <v>258</v>
      </c>
      <c r="C11" s="48">
        <f>28.42/2</f>
        <v>14.21</v>
      </c>
      <c r="D11" s="48"/>
      <c r="E11" s="14" t="s">
        <v>575</v>
      </c>
      <c r="F11" s="72" t="s">
        <v>71</v>
      </c>
      <c r="G11" s="14" t="s">
        <v>232</v>
      </c>
      <c r="H11" s="50"/>
      <c r="J11" s="51" t="str">
        <f t="shared" si="1"/>
        <v>1084.TRAV</v>
      </c>
      <c r="K11" s="52" t="str">
        <f t="shared" si="2"/>
        <v xml:space="preserve">S Gray-QT PERTH OPI Pe-Peninsula Downs Trip / WA Gekko Sales Trip </v>
      </c>
      <c r="L11" s="52" t="s">
        <v>32</v>
      </c>
      <c r="M11" s="53">
        <f t="shared" si="3"/>
        <v>14.21</v>
      </c>
      <c r="N11" s="54" t="s">
        <v>33</v>
      </c>
      <c r="O11" s="44"/>
      <c r="P11" s="54"/>
      <c r="R11" s="21">
        <f t="shared" si="4"/>
        <v>66</v>
      </c>
    </row>
    <row r="12" spans="1:18" ht="15.75" thickBot="1" x14ac:dyDescent="0.25">
      <c r="A12" s="47">
        <v>45877</v>
      </c>
      <c r="B12" s="47" t="s">
        <v>258</v>
      </c>
      <c r="C12" s="48">
        <f>28.42/2</f>
        <v>14.21</v>
      </c>
      <c r="D12" s="48"/>
      <c r="E12" s="14" t="s">
        <v>440</v>
      </c>
      <c r="F12" s="49" t="s">
        <v>507</v>
      </c>
      <c r="G12" s="14" t="s">
        <v>441</v>
      </c>
      <c r="H12" s="50"/>
      <c r="J12" s="51" t="str">
        <f t="shared" si="1"/>
        <v>1060GE2.MISC</v>
      </c>
      <c r="K12" s="52" t="str">
        <f t="shared" si="2"/>
        <v>S Gray-QT PERTH OPI Pe-G1145-Peninsula Downs Trip</v>
      </c>
      <c r="L12" s="52" t="s">
        <v>32</v>
      </c>
      <c r="M12" s="53">
        <f t="shared" si="3"/>
        <v>14.21</v>
      </c>
      <c r="N12" s="54" t="s">
        <v>33</v>
      </c>
      <c r="O12" s="44"/>
      <c r="P12" s="54"/>
      <c r="R12" s="21">
        <f t="shared" si="4"/>
        <v>49</v>
      </c>
    </row>
    <row r="13" spans="1:18" ht="15.75" thickBot="1" x14ac:dyDescent="0.25">
      <c r="A13" s="47">
        <v>45877</v>
      </c>
      <c r="B13" s="47" t="s">
        <v>258</v>
      </c>
      <c r="C13" s="48">
        <f>156.82/2</f>
        <v>78.41</v>
      </c>
      <c r="D13" s="48"/>
      <c r="E13" s="14" t="s">
        <v>575</v>
      </c>
      <c r="F13" s="72" t="s">
        <v>71</v>
      </c>
      <c r="G13" s="14" t="s">
        <v>232</v>
      </c>
      <c r="H13" s="13"/>
      <c r="J13" s="51" t="str">
        <f t="shared" si="1"/>
        <v>1084.TRAV</v>
      </c>
      <c r="K13" s="52" t="str">
        <f t="shared" si="2"/>
        <v xml:space="preserve">S Gray-QT PERTH OPI Pe-Peninsula Downs Trip / WA Gekko Sales Trip </v>
      </c>
      <c r="L13" s="52" t="s">
        <v>32</v>
      </c>
      <c r="M13" s="53">
        <f t="shared" si="3"/>
        <v>78.41</v>
      </c>
      <c r="N13" s="54" t="s">
        <v>33</v>
      </c>
      <c r="O13" s="44"/>
      <c r="P13" s="54"/>
      <c r="R13" s="21">
        <f t="shared" si="4"/>
        <v>66</v>
      </c>
    </row>
    <row r="14" spans="1:18" ht="15.75" thickBot="1" x14ac:dyDescent="0.25">
      <c r="A14" s="47">
        <v>45877</v>
      </c>
      <c r="B14" s="47" t="s">
        <v>258</v>
      </c>
      <c r="C14" s="48">
        <f>156.82/2</f>
        <v>78.41</v>
      </c>
      <c r="D14" s="48"/>
      <c r="E14" s="14" t="s">
        <v>440</v>
      </c>
      <c r="F14" s="49" t="s">
        <v>507</v>
      </c>
      <c r="G14" s="14" t="s">
        <v>441</v>
      </c>
      <c r="H14" s="13"/>
      <c r="J14" s="51" t="str">
        <f t="shared" si="1"/>
        <v>1060GE2.MISC</v>
      </c>
      <c r="K14" s="52" t="str">
        <f t="shared" si="2"/>
        <v>S Gray-QT PERTH OPI Pe-G1145-Peninsula Downs Trip</v>
      </c>
      <c r="L14" s="52" t="s">
        <v>32</v>
      </c>
      <c r="M14" s="53">
        <f t="shared" si="3"/>
        <v>78.41</v>
      </c>
      <c r="N14" s="54" t="s">
        <v>33</v>
      </c>
      <c r="O14" s="44"/>
      <c r="P14" s="54"/>
      <c r="R14" s="21">
        <f t="shared" si="4"/>
        <v>49</v>
      </c>
    </row>
    <row r="15" spans="1:18" ht="15.75" thickBot="1" x14ac:dyDescent="0.25">
      <c r="A15" s="47">
        <v>45877</v>
      </c>
      <c r="B15" s="47" t="s">
        <v>259</v>
      </c>
      <c r="C15" s="48">
        <f>78.88/2</f>
        <v>39.44</v>
      </c>
      <c r="D15" s="48"/>
      <c r="E15" s="14" t="s">
        <v>575</v>
      </c>
      <c r="F15" s="72" t="s">
        <v>71</v>
      </c>
      <c r="G15" s="14" t="s">
        <v>232</v>
      </c>
      <c r="H15" s="50"/>
      <c r="J15" s="51" t="str">
        <f t="shared" si="1"/>
        <v>1084.TRAV</v>
      </c>
      <c r="K15" s="52" t="str">
        <f t="shared" si="2"/>
        <v xml:space="preserve">S Gray-7 ELEVEN 3045 A-Peninsula Downs Trip / WA Gekko Sales Trip </v>
      </c>
      <c r="L15" s="52" t="s">
        <v>32</v>
      </c>
      <c r="M15" s="53">
        <f t="shared" si="3"/>
        <v>39.44</v>
      </c>
      <c r="N15" s="54" t="s">
        <v>33</v>
      </c>
      <c r="O15" s="44"/>
      <c r="P15" s="54"/>
      <c r="R15" s="21">
        <f t="shared" si="4"/>
        <v>66</v>
      </c>
    </row>
    <row r="16" spans="1:18" ht="15.75" thickBot="1" x14ac:dyDescent="0.25">
      <c r="A16" s="47">
        <v>45877</v>
      </c>
      <c r="B16" s="47" t="s">
        <v>259</v>
      </c>
      <c r="C16" s="48">
        <f>78.88/2</f>
        <v>39.44</v>
      </c>
      <c r="D16" s="48"/>
      <c r="E16" s="14" t="s">
        <v>440</v>
      </c>
      <c r="F16" s="49" t="s">
        <v>507</v>
      </c>
      <c r="G16" s="14" t="s">
        <v>441</v>
      </c>
      <c r="H16" s="50"/>
      <c r="J16" s="51" t="str">
        <f t="shared" si="1"/>
        <v>1060GE2.MISC</v>
      </c>
      <c r="K16" s="52" t="str">
        <f t="shared" si="2"/>
        <v>S Gray-7 ELEVEN 3045 A-G1145-Peninsula Downs Trip</v>
      </c>
      <c r="L16" s="52" t="s">
        <v>32</v>
      </c>
      <c r="M16" s="53">
        <f t="shared" si="3"/>
        <v>39.44</v>
      </c>
      <c r="N16" s="54" t="s">
        <v>33</v>
      </c>
      <c r="O16" s="44"/>
      <c r="P16" s="54"/>
      <c r="R16" s="21">
        <f t="shared" si="4"/>
        <v>49</v>
      </c>
    </row>
    <row r="17" spans="1:18" ht="15.75" thickBot="1" x14ac:dyDescent="0.25">
      <c r="A17" s="47">
        <v>45877</v>
      </c>
      <c r="B17" s="47" t="s">
        <v>260</v>
      </c>
      <c r="C17" s="48">
        <f>312/2</f>
        <v>156</v>
      </c>
      <c r="D17" s="48"/>
      <c r="E17" s="14" t="s">
        <v>575</v>
      </c>
      <c r="F17" s="72" t="s">
        <v>71</v>
      </c>
      <c r="G17" s="14" t="s">
        <v>232</v>
      </c>
      <c r="H17" s="13"/>
      <c r="J17" s="51" t="str">
        <f t="shared" si="1"/>
        <v>1084.TRAV</v>
      </c>
      <c r="K17" s="52" t="str">
        <f t="shared" si="2"/>
        <v xml:space="preserve">S Gray-QANTAS VALET Fi-Peninsula Downs Trip / WA Gekko Sales Trip </v>
      </c>
      <c r="L17" s="52" t="s">
        <v>32</v>
      </c>
      <c r="M17" s="53">
        <f t="shared" si="3"/>
        <v>156</v>
      </c>
      <c r="N17" s="54" t="s">
        <v>33</v>
      </c>
      <c r="O17" s="44"/>
      <c r="P17" s="54"/>
      <c r="R17" s="21">
        <f t="shared" si="4"/>
        <v>66</v>
      </c>
    </row>
    <row r="18" spans="1:18" ht="15.75" thickBot="1" x14ac:dyDescent="0.25">
      <c r="A18" s="47">
        <v>45877</v>
      </c>
      <c r="B18" s="47" t="s">
        <v>260</v>
      </c>
      <c r="C18" s="48">
        <f>312/2</f>
        <v>156</v>
      </c>
      <c r="D18" s="48"/>
      <c r="E18" s="14" t="s">
        <v>440</v>
      </c>
      <c r="F18" s="49" t="s">
        <v>507</v>
      </c>
      <c r="G18" s="14" t="s">
        <v>441</v>
      </c>
      <c r="H18" s="13"/>
      <c r="J18" s="51" t="str">
        <f t="shared" si="1"/>
        <v>1060GE2.MISC</v>
      </c>
      <c r="K18" s="52" t="str">
        <f t="shared" si="2"/>
        <v>S Gray-QANTAS VALET Fi-G1145-Peninsula Downs Trip</v>
      </c>
      <c r="L18" s="52" t="s">
        <v>32</v>
      </c>
      <c r="M18" s="53">
        <f t="shared" si="3"/>
        <v>156</v>
      </c>
      <c r="N18" s="54" t="s">
        <v>33</v>
      </c>
      <c r="O18" s="44"/>
      <c r="P18" s="54"/>
      <c r="R18" s="21">
        <f t="shared" si="4"/>
        <v>49</v>
      </c>
    </row>
    <row r="19" spans="1:18" ht="15.75" thickBot="1" x14ac:dyDescent="0.25">
      <c r="A19" s="47">
        <v>45875</v>
      </c>
      <c r="B19" s="47" t="s">
        <v>261</v>
      </c>
      <c r="C19" s="48">
        <f>455.07/2</f>
        <v>227.535</v>
      </c>
      <c r="D19" s="48"/>
      <c r="E19" s="14" t="s">
        <v>575</v>
      </c>
      <c r="F19" s="72" t="s">
        <v>71</v>
      </c>
      <c r="G19" s="14" t="s">
        <v>232</v>
      </c>
      <c r="H19" s="13"/>
      <c r="J19" s="51" t="str">
        <f t="shared" si="1"/>
        <v>1084.TRAV</v>
      </c>
      <c r="K19" s="52" t="str">
        <f t="shared" si="2"/>
        <v xml:space="preserve">S Gray-QANTAS081237430-Peninsula Downs Trip / WA Gekko Sales Trip </v>
      </c>
      <c r="L19" s="52" t="s">
        <v>32</v>
      </c>
      <c r="M19" s="53">
        <f t="shared" si="3"/>
        <v>227.535</v>
      </c>
      <c r="N19" s="54" t="s">
        <v>33</v>
      </c>
      <c r="O19" s="44"/>
      <c r="P19" s="54"/>
      <c r="R19" s="21">
        <f t="shared" si="4"/>
        <v>66</v>
      </c>
    </row>
    <row r="20" spans="1:18" ht="15.75" thickBot="1" x14ac:dyDescent="0.25">
      <c r="A20" s="47">
        <v>45875</v>
      </c>
      <c r="B20" s="47" t="s">
        <v>261</v>
      </c>
      <c r="C20" s="48">
        <f>455.07/2</f>
        <v>227.535</v>
      </c>
      <c r="D20" s="48"/>
      <c r="E20" s="14" t="s">
        <v>440</v>
      </c>
      <c r="F20" s="49" t="s">
        <v>507</v>
      </c>
      <c r="G20" s="14" t="s">
        <v>441</v>
      </c>
      <c r="H20" s="13"/>
      <c r="J20" s="51" t="str">
        <f t="shared" si="1"/>
        <v>1060GE2.MISC</v>
      </c>
      <c r="K20" s="52" t="str">
        <f t="shared" si="2"/>
        <v>S Gray-QANTAS081237430-G1145-Peninsula Downs Trip</v>
      </c>
      <c r="L20" s="52" t="s">
        <v>32</v>
      </c>
      <c r="M20" s="53">
        <f t="shared" si="3"/>
        <v>227.535</v>
      </c>
      <c r="N20" s="54" t="s">
        <v>33</v>
      </c>
      <c r="O20" s="44"/>
      <c r="P20" s="54"/>
      <c r="R20" s="21">
        <f t="shared" si="4"/>
        <v>49</v>
      </c>
    </row>
    <row r="21" spans="1:18" ht="15.75" thickBot="1" x14ac:dyDescent="0.25">
      <c r="A21" s="47">
        <v>45875</v>
      </c>
      <c r="B21" s="47" t="s">
        <v>262</v>
      </c>
      <c r="C21" s="48">
        <f>41.49/2</f>
        <v>20.745000000000001</v>
      </c>
      <c r="D21" s="48"/>
      <c r="E21" s="14" t="s">
        <v>575</v>
      </c>
      <c r="F21" s="72" t="s">
        <v>71</v>
      </c>
      <c r="G21" s="14" t="s">
        <v>232</v>
      </c>
      <c r="H21" s="13"/>
      <c r="J21" s="51" t="str">
        <f t="shared" si="1"/>
        <v>1084.TRAV</v>
      </c>
      <c r="K21" s="52" t="str">
        <f t="shared" si="2"/>
        <v xml:space="preserve">S Gray-MARY STREET BAK-Peninsula Downs Trip / WA Gekko Sales Trip </v>
      </c>
      <c r="L21" s="52" t="s">
        <v>32</v>
      </c>
      <c r="M21" s="53">
        <f t="shared" si="3"/>
        <v>20.745000000000001</v>
      </c>
      <c r="N21" s="54" t="s">
        <v>33</v>
      </c>
      <c r="O21" s="44"/>
      <c r="P21" s="54"/>
      <c r="R21" s="21">
        <f t="shared" si="4"/>
        <v>66</v>
      </c>
    </row>
    <row r="22" spans="1:18" ht="15.75" thickBot="1" x14ac:dyDescent="0.25">
      <c r="A22" s="47">
        <v>45875</v>
      </c>
      <c r="B22" s="47" t="s">
        <v>262</v>
      </c>
      <c r="C22" s="48">
        <f>41.49/2</f>
        <v>20.745000000000001</v>
      </c>
      <c r="D22" s="48"/>
      <c r="E22" s="14" t="s">
        <v>440</v>
      </c>
      <c r="F22" s="49" t="s">
        <v>507</v>
      </c>
      <c r="G22" s="14" t="s">
        <v>441</v>
      </c>
      <c r="H22" s="13"/>
      <c r="J22" s="51" t="str">
        <f t="shared" si="1"/>
        <v>1060GE2.MISC</v>
      </c>
      <c r="K22" s="52" t="str">
        <f t="shared" si="2"/>
        <v>S Gray-MARY STREET BAK-G1145-Peninsula Downs Trip</v>
      </c>
      <c r="L22" s="52" t="s">
        <v>32</v>
      </c>
      <c r="M22" s="53">
        <f t="shared" si="3"/>
        <v>20.745000000000001</v>
      </c>
      <c r="N22" s="54" t="s">
        <v>33</v>
      </c>
      <c r="O22" s="44"/>
      <c r="P22" s="54"/>
      <c r="R22" s="21">
        <f t="shared" si="4"/>
        <v>49</v>
      </c>
    </row>
    <row r="23" spans="1:18" ht="15.75" thickBot="1" x14ac:dyDescent="0.25">
      <c r="A23" s="47">
        <v>45875</v>
      </c>
      <c r="B23" s="47" t="s">
        <v>139</v>
      </c>
      <c r="C23" s="48">
        <f>22.79/2</f>
        <v>11.395</v>
      </c>
      <c r="D23" s="48"/>
      <c r="E23" s="14" t="s">
        <v>575</v>
      </c>
      <c r="F23" s="72" t="s">
        <v>71</v>
      </c>
      <c r="G23" s="14" t="s">
        <v>232</v>
      </c>
      <c r="H23" s="13"/>
      <c r="J23" s="51" t="str">
        <f t="shared" si="1"/>
        <v>1084.TRAV</v>
      </c>
      <c r="K23" s="52" t="str">
        <f t="shared" si="2"/>
        <v xml:space="preserve">S Gray-SWAN TAXIS PTY -Peninsula Downs Trip / WA Gekko Sales Trip </v>
      </c>
      <c r="L23" s="52" t="s">
        <v>32</v>
      </c>
      <c r="M23" s="53">
        <f t="shared" si="3"/>
        <v>11.395</v>
      </c>
      <c r="N23" s="54" t="s">
        <v>33</v>
      </c>
      <c r="O23" s="44"/>
      <c r="P23" s="54"/>
      <c r="R23" s="21">
        <f t="shared" si="4"/>
        <v>66</v>
      </c>
    </row>
    <row r="24" spans="1:18" ht="15.75" thickBot="1" x14ac:dyDescent="0.25">
      <c r="A24" s="47">
        <v>45875</v>
      </c>
      <c r="B24" s="47" t="s">
        <v>139</v>
      </c>
      <c r="C24" s="48">
        <f>22.79/2</f>
        <v>11.395</v>
      </c>
      <c r="D24" s="48"/>
      <c r="E24" s="14" t="s">
        <v>440</v>
      </c>
      <c r="F24" s="49" t="s">
        <v>507</v>
      </c>
      <c r="G24" s="14" t="s">
        <v>441</v>
      </c>
      <c r="H24" s="13"/>
      <c r="J24" s="51" t="str">
        <f t="shared" si="1"/>
        <v>1060GE2.MISC</v>
      </c>
      <c r="K24" s="52" t="str">
        <f t="shared" si="2"/>
        <v>S Gray-SWAN TAXIS PTY -G1145-Peninsula Downs Trip</v>
      </c>
      <c r="L24" s="52" t="s">
        <v>32</v>
      </c>
      <c r="M24" s="53">
        <f t="shared" si="3"/>
        <v>11.395</v>
      </c>
      <c r="N24" s="54" t="s">
        <v>33</v>
      </c>
      <c r="O24" s="44"/>
      <c r="P24" s="54"/>
      <c r="R24" s="21">
        <f t="shared" si="4"/>
        <v>49</v>
      </c>
    </row>
    <row r="25" spans="1:18" ht="15.75" thickBot="1" x14ac:dyDescent="0.25">
      <c r="A25" s="47">
        <v>45875</v>
      </c>
      <c r="B25" s="47" t="s">
        <v>263</v>
      </c>
      <c r="C25" s="48">
        <f>165/2</f>
        <v>82.5</v>
      </c>
      <c r="D25" s="48"/>
      <c r="E25" s="14" t="s">
        <v>575</v>
      </c>
      <c r="F25" s="72" t="s">
        <v>71</v>
      </c>
      <c r="G25" s="14" t="s">
        <v>232</v>
      </c>
      <c r="H25" s="13"/>
      <c r="J25" s="51" t="str">
        <f t="shared" si="1"/>
        <v>1084.TRAV</v>
      </c>
      <c r="K25" s="52" t="str">
        <f t="shared" si="2"/>
        <v xml:space="preserve">S Gray-Hotel at Bookin-Peninsula Downs Trip / WA Gekko Sales Trip </v>
      </c>
      <c r="L25" s="52" t="s">
        <v>32</v>
      </c>
      <c r="M25" s="53">
        <f t="shared" si="3"/>
        <v>82.5</v>
      </c>
      <c r="N25" s="54" t="s">
        <v>33</v>
      </c>
      <c r="O25" s="44"/>
      <c r="P25" s="54"/>
      <c r="R25" s="21">
        <f t="shared" si="4"/>
        <v>66</v>
      </c>
    </row>
    <row r="26" spans="1:18" ht="15.75" thickBot="1" x14ac:dyDescent="0.25">
      <c r="A26" s="47">
        <v>45875</v>
      </c>
      <c r="B26" s="47" t="s">
        <v>263</v>
      </c>
      <c r="C26" s="48">
        <f>165/2</f>
        <v>82.5</v>
      </c>
      <c r="D26" s="48"/>
      <c r="E26" s="14" t="s">
        <v>440</v>
      </c>
      <c r="F26" s="49" t="s">
        <v>507</v>
      </c>
      <c r="G26" s="14" t="s">
        <v>441</v>
      </c>
      <c r="H26" s="13"/>
      <c r="J26" s="51" t="str">
        <f t="shared" si="1"/>
        <v>1060GE2.MISC</v>
      </c>
      <c r="K26" s="52" t="str">
        <f t="shared" si="2"/>
        <v>S Gray-Hotel at Bookin-G1145-Peninsula Downs Trip</v>
      </c>
      <c r="L26" s="52" t="s">
        <v>32</v>
      </c>
      <c r="M26" s="53">
        <f t="shared" si="3"/>
        <v>82.5</v>
      </c>
      <c r="N26" s="54" t="s">
        <v>33</v>
      </c>
      <c r="O26" s="44"/>
      <c r="P26" s="54"/>
      <c r="R26" s="21">
        <f t="shared" si="4"/>
        <v>49</v>
      </c>
    </row>
    <row r="27" spans="1:18" ht="15.75" thickBot="1" x14ac:dyDescent="0.25">
      <c r="A27" s="47">
        <v>45868</v>
      </c>
      <c r="B27" s="47" t="s">
        <v>264</v>
      </c>
      <c r="C27" s="48">
        <f>885/2</f>
        <v>442.5</v>
      </c>
      <c r="D27" s="48"/>
      <c r="E27" s="14" t="s">
        <v>575</v>
      </c>
      <c r="F27" s="72" t="s">
        <v>71</v>
      </c>
      <c r="G27" s="14" t="s">
        <v>232</v>
      </c>
      <c r="H27" s="13"/>
      <c r="J27" s="51" t="str">
        <f t="shared" si="1"/>
        <v>1084.TRAV</v>
      </c>
      <c r="K27" s="52" t="str">
        <f t="shared" si="2"/>
        <v xml:space="preserve">S Gray-QANTAS081HQA3H4-Peninsula Downs Trip / WA Gekko Sales Trip </v>
      </c>
      <c r="L27" s="52" t="s">
        <v>32</v>
      </c>
      <c r="M27" s="53">
        <f t="shared" si="3"/>
        <v>442.5</v>
      </c>
      <c r="N27" s="54" t="s">
        <v>33</v>
      </c>
      <c r="O27" s="44"/>
      <c r="P27" s="54"/>
      <c r="R27" s="21">
        <f t="shared" si="4"/>
        <v>66</v>
      </c>
    </row>
    <row r="28" spans="1:18" ht="15.75" thickBot="1" x14ac:dyDescent="0.25">
      <c r="A28" s="47">
        <v>45868</v>
      </c>
      <c r="B28" s="47" t="s">
        <v>264</v>
      </c>
      <c r="C28" s="48">
        <f>885/2</f>
        <v>442.5</v>
      </c>
      <c r="D28" s="48"/>
      <c r="E28" s="14" t="s">
        <v>440</v>
      </c>
      <c r="F28" s="49" t="s">
        <v>507</v>
      </c>
      <c r="G28" s="14" t="s">
        <v>441</v>
      </c>
      <c r="H28" s="13"/>
      <c r="J28" s="51" t="str">
        <f t="shared" si="1"/>
        <v>1060GE2.MISC</v>
      </c>
      <c r="K28" s="52" t="str">
        <f t="shared" si="2"/>
        <v>S Gray-QANTAS081HQA3H4-G1145-Peninsula Downs Trip</v>
      </c>
      <c r="L28" s="52" t="s">
        <v>32</v>
      </c>
      <c r="M28" s="53">
        <f t="shared" si="3"/>
        <v>442.5</v>
      </c>
      <c r="N28" s="54" t="s">
        <v>33</v>
      </c>
      <c r="O28" s="44"/>
      <c r="P28" s="54"/>
      <c r="R28" s="21">
        <f t="shared" si="4"/>
        <v>49</v>
      </c>
    </row>
    <row r="29" spans="1:18" ht="15.75" thickBot="1" x14ac:dyDescent="0.25">
      <c r="A29" s="47">
        <v>45867</v>
      </c>
      <c r="B29" s="47" t="s">
        <v>265</v>
      </c>
      <c r="C29" s="48">
        <f>144.2/2</f>
        <v>72.099999999999994</v>
      </c>
      <c r="D29" s="48"/>
      <c r="E29" s="14" t="s">
        <v>575</v>
      </c>
      <c r="F29" s="72" t="s">
        <v>71</v>
      </c>
      <c r="G29" s="14" t="s">
        <v>232</v>
      </c>
      <c r="H29" s="13"/>
      <c r="J29" s="51" t="str">
        <f t="shared" si="1"/>
        <v>1084.TRAV</v>
      </c>
      <c r="K29" s="52" t="str">
        <f t="shared" si="2"/>
        <v xml:space="preserve">S Gray-QANTAS081237386-Peninsula Downs Trip / WA Gekko Sales Trip </v>
      </c>
      <c r="L29" s="52" t="s">
        <v>32</v>
      </c>
      <c r="M29" s="53">
        <f t="shared" si="3"/>
        <v>72.099999999999994</v>
      </c>
      <c r="N29" s="54" t="s">
        <v>33</v>
      </c>
      <c r="O29" s="44"/>
      <c r="P29" s="54"/>
      <c r="R29" s="21">
        <f t="shared" si="4"/>
        <v>66</v>
      </c>
    </row>
    <row r="30" spans="1:18" ht="15.75" thickBot="1" x14ac:dyDescent="0.25">
      <c r="A30" s="47">
        <v>45867</v>
      </c>
      <c r="B30" s="47" t="s">
        <v>265</v>
      </c>
      <c r="C30" s="48">
        <f>144.2/2</f>
        <v>72.099999999999994</v>
      </c>
      <c r="D30" s="48"/>
      <c r="E30" s="14" t="s">
        <v>440</v>
      </c>
      <c r="F30" s="49" t="s">
        <v>507</v>
      </c>
      <c r="G30" s="14" t="s">
        <v>441</v>
      </c>
      <c r="H30" s="13"/>
      <c r="J30" s="51" t="str">
        <f t="shared" si="1"/>
        <v>1060GE2.MISC</v>
      </c>
      <c r="K30" s="52" t="str">
        <f t="shared" si="2"/>
        <v>S Gray-QANTAS081237386-G1145-Peninsula Downs Trip</v>
      </c>
      <c r="L30" s="52" t="s">
        <v>32</v>
      </c>
      <c r="M30" s="53">
        <f t="shared" si="3"/>
        <v>72.099999999999994</v>
      </c>
      <c r="N30" s="54" t="s">
        <v>33</v>
      </c>
      <c r="O30" s="44"/>
      <c r="P30" s="54"/>
      <c r="R30" s="21">
        <f t="shared" si="4"/>
        <v>49</v>
      </c>
    </row>
    <row r="31" spans="1:18" ht="15.75" thickBot="1" x14ac:dyDescent="0.25">
      <c r="A31" s="47">
        <v>45866</v>
      </c>
      <c r="B31" s="47" t="s">
        <v>266</v>
      </c>
      <c r="C31" s="48">
        <v>44.75</v>
      </c>
      <c r="D31" s="48"/>
      <c r="E31" s="14"/>
      <c r="F31" s="73" t="s">
        <v>71</v>
      </c>
      <c r="G31" s="13" t="s">
        <v>232</v>
      </c>
      <c r="H31" s="13"/>
      <c r="J31" s="51" t="str">
        <f t="shared" si="1"/>
        <v>1084.TRAV</v>
      </c>
      <c r="K31" s="52" t="str">
        <f t="shared" si="2"/>
        <v>S Gray-BUDGET RENT A C-</v>
      </c>
      <c r="L31" s="52" t="s">
        <v>32</v>
      </c>
      <c r="M31" s="53">
        <f t="shared" si="3"/>
        <v>44.75</v>
      </c>
      <c r="N31" s="54" t="s">
        <v>33</v>
      </c>
      <c r="O31" s="44"/>
      <c r="P31" s="54"/>
      <c r="R31" s="21">
        <f t="shared" si="4"/>
        <v>23</v>
      </c>
    </row>
    <row r="32" spans="1:18" ht="15.75" thickBot="1" x14ac:dyDescent="0.25">
      <c r="A32" s="47">
        <v>45866</v>
      </c>
      <c r="B32" s="47" t="s">
        <v>267</v>
      </c>
      <c r="C32" s="48">
        <f>171.68/2</f>
        <v>85.84</v>
      </c>
      <c r="D32" s="48"/>
      <c r="E32" s="14" t="s">
        <v>575</v>
      </c>
      <c r="F32" s="72" t="s">
        <v>71</v>
      </c>
      <c r="G32" s="14" t="s">
        <v>232</v>
      </c>
      <c r="H32" s="13"/>
      <c r="J32" s="51" t="str">
        <f t="shared" si="1"/>
        <v>1084.TRAV</v>
      </c>
      <c r="K32" s="52" t="str">
        <f t="shared" si="2"/>
        <v xml:space="preserve">S Gray-QANTAS VALET PA-Peninsula Downs Trip / WA Gekko Sales Trip </v>
      </c>
      <c r="L32" s="52" t="s">
        <v>32</v>
      </c>
      <c r="M32" s="53">
        <f t="shared" si="3"/>
        <v>85.84</v>
      </c>
      <c r="N32" s="54" t="s">
        <v>33</v>
      </c>
      <c r="O32" s="44"/>
      <c r="P32" s="54"/>
      <c r="R32" s="21">
        <f t="shared" si="4"/>
        <v>66</v>
      </c>
    </row>
    <row r="33" spans="1:18" ht="15.75" thickBot="1" x14ac:dyDescent="0.25">
      <c r="A33" s="47">
        <v>45866</v>
      </c>
      <c r="B33" s="47" t="s">
        <v>267</v>
      </c>
      <c r="C33" s="48">
        <f>171.68/2</f>
        <v>85.84</v>
      </c>
      <c r="D33" s="48"/>
      <c r="E33" s="14" t="s">
        <v>440</v>
      </c>
      <c r="F33" s="49" t="s">
        <v>507</v>
      </c>
      <c r="G33" s="14" t="s">
        <v>441</v>
      </c>
      <c r="H33" s="13"/>
      <c r="J33" s="51" t="str">
        <f t="shared" si="1"/>
        <v>1060GE2.MISC</v>
      </c>
      <c r="K33" s="52" t="str">
        <f t="shared" si="2"/>
        <v>S Gray-QANTAS VALET PA-G1145-Peninsula Downs Trip</v>
      </c>
      <c r="L33" s="52" t="s">
        <v>32</v>
      </c>
      <c r="M33" s="53">
        <f t="shared" si="3"/>
        <v>85.84</v>
      </c>
      <c r="N33" s="54" t="s">
        <v>33</v>
      </c>
      <c r="O33" s="44"/>
      <c r="P33" s="54"/>
      <c r="R33" s="21">
        <f t="shared" si="4"/>
        <v>49</v>
      </c>
    </row>
    <row r="34" spans="1:18" ht="15.75" thickBot="1" x14ac:dyDescent="0.25">
      <c r="A34" s="47">
        <v>45865</v>
      </c>
      <c r="B34" s="47" t="s">
        <v>268</v>
      </c>
      <c r="C34" s="48">
        <v>5</v>
      </c>
      <c r="D34" s="48"/>
      <c r="E34" s="13"/>
      <c r="F34" s="73" t="s">
        <v>71</v>
      </c>
      <c r="G34" s="13" t="s">
        <v>232</v>
      </c>
      <c r="H34" s="13"/>
      <c r="J34" s="51" t="str">
        <f t="shared" si="1"/>
        <v>1084.TRAV</v>
      </c>
      <c r="K34" s="52" t="str">
        <f t="shared" si="2"/>
        <v>S Gray-BEACHFRONT VOYA-</v>
      </c>
      <c r="L34" s="52" t="s">
        <v>32</v>
      </c>
      <c r="M34" s="53">
        <f t="shared" si="3"/>
        <v>5</v>
      </c>
      <c r="N34" s="54" t="s">
        <v>33</v>
      </c>
      <c r="O34" s="44"/>
      <c r="P34" s="54"/>
      <c r="R34" s="21">
        <f t="shared" si="4"/>
        <v>23</v>
      </c>
    </row>
    <row r="35" spans="1:18" ht="15.75" thickBot="1" x14ac:dyDescent="0.25">
      <c r="A35" s="47">
        <v>45862</v>
      </c>
      <c r="B35" s="47" t="s">
        <v>269</v>
      </c>
      <c r="C35" s="48">
        <v>93.49</v>
      </c>
      <c r="D35" s="48"/>
      <c r="E35" s="14"/>
      <c r="F35" s="73" t="s">
        <v>168</v>
      </c>
      <c r="G35" s="13" t="s">
        <v>232</v>
      </c>
      <c r="H35" s="13"/>
      <c r="J35" s="51" t="str">
        <f t="shared" si="1"/>
        <v>1041.TRAV</v>
      </c>
      <c r="K35" s="52" t="str">
        <f t="shared" si="2"/>
        <v>S Gray-DSwiss AG Z ric-</v>
      </c>
      <c r="L35" s="52" t="s">
        <v>32</v>
      </c>
      <c r="M35" s="53">
        <f t="shared" si="3"/>
        <v>93.49</v>
      </c>
      <c r="N35" s="54" t="s">
        <v>150</v>
      </c>
      <c r="O35" s="44"/>
      <c r="P35" s="54"/>
      <c r="R35" s="21">
        <f t="shared" si="4"/>
        <v>23</v>
      </c>
    </row>
    <row r="36" spans="1:18" ht="15.75" thickBot="1" x14ac:dyDescent="0.25">
      <c r="A36" s="47">
        <v>45861</v>
      </c>
      <c r="B36" s="47" t="s">
        <v>270</v>
      </c>
      <c r="C36" s="48">
        <v>112.55</v>
      </c>
      <c r="D36" s="48"/>
      <c r="E36" s="13" t="s">
        <v>439</v>
      </c>
      <c r="F36" s="73" t="s">
        <v>71</v>
      </c>
      <c r="G36" s="13" t="s">
        <v>116</v>
      </c>
      <c r="H36" s="13"/>
      <c r="J36" s="51" t="str">
        <f t="shared" si="1"/>
        <v>1084.ENON</v>
      </c>
      <c r="K36" s="52" t="str">
        <f t="shared" si="2"/>
        <v>S Gray-SQ *LE PECHE GO-Catering Pronto lunch</v>
      </c>
      <c r="L36" s="52" t="s">
        <v>32</v>
      </c>
      <c r="M36" s="53">
        <f t="shared" si="3"/>
        <v>112.55</v>
      </c>
      <c r="N36" s="54" t="s">
        <v>33</v>
      </c>
      <c r="O36" s="44"/>
      <c r="P36" s="54"/>
      <c r="R36" s="21">
        <f t="shared" si="4"/>
        <v>44</v>
      </c>
    </row>
    <row r="37" spans="1:18" ht="15.75" thickBot="1" x14ac:dyDescent="0.25">
      <c r="A37" s="47">
        <v>45860</v>
      </c>
      <c r="B37" s="47" t="s">
        <v>271</v>
      </c>
      <c r="C37" s="48">
        <f>923.9/2</f>
        <v>461.95</v>
      </c>
      <c r="D37" s="48"/>
      <c r="E37" s="14" t="s">
        <v>575</v>
      </c>
      <c r="F37" s="72" t="s">
        <v>71</v>
      </c>
      <c r="G37" s="14" t="s">
        <v>232</v>
      </c>
      <c r="H37" s="13"/>
      <c r="J37" s="51" t="str">
        <f t="shared" si="1"/>
        <v>1084.TRAV</v>
      </c>
      <c r="K37" s="52" t="str">
        <f t="shared" si="2"/>
        <v xml:space="preserve">S Gray-WEBJET MELBOURN-Peninsula Downs Trip / WA Gekko Sales Trip </v>
      </c>
      <c r="L37" s="52" t="s">
        <v>32</v>
      </c>
      <c r="M37" s="53">
        <f t="shared" si="3"/>
        <v>461.95</v>
      </c>
      <c r="N37" s="54" t="s">
        <v>33</v>
      </c>
      <c r="O37" s="44"/>
      <c r="P37" s="54"/>
      <c r="R37" s="21">
        <f t="shared" si="4"/>
        <v>66</v>
      </c>
    </row>
    <row r="38" spans="1:18" ht="15.75" thickBot="1" x14ac:dyDescent="0.25">
      <c r="A38" s="47">
        <v>45860</v>
      </c>
      <c r="B38" s="47" t="s">
        <v>271</v>
      </c>
      <c r="C38" s="48">
        <f>923.9/2</f>
        <v>461.95</v>
      </c>
      <c r="D38" s="75"/>
      <c r="E38" s="14" t="s">
        <v>440</v>
      </c>
      <c r="F38" s="49" t="s">
        <v>507</v>
      </c>
      <c r="G38" s="14" t="s">
        <v>441</v>
      </c>
      <c r="H38" s="76"/>
      <c r="J38" s="51" t="str">
        <f t="shared" si="1"/>
        <v>1060GE2.MISC</v>
      </c>
      <c r="K38" s="52" t="str">
        <f t="shared" si="2"/>
        <v>S Gray-WEBJET MELBOURN-G1145-Peninsula Downs Trip</v>
      </c>
      <c r="L38" s="52" t="s">
        <v>32</v>
      </c>
      <c r="M38" s="53">
        <f t="shared" si="3"/>
        <v>461.95</v>
      </c>
      <c r="N38" s="54" t="s">
        <v>33</v>
      </c>
      <c r="O38" s="78"/>
      <c r="P38" s="77"/>
      <c r="R38" s="21">
        <f t="shared" si="4"/>
        <v>49</v>
      </c>
    </row>
  </sheetData>
  <mergeCells count="5">
    <mergeCell ref="J1:P1"/>
    <mergeCell ref="A4:H4"/>
    <mergeCell ref="J5:Q5"/>
    <mergeCell ref="E6:H7"/>
    <mergeCell ref="A1:H3"/>
  </mergeCells>
  <conditionalFormatting sqref="B23:B61">
    <cfRule type="cellIs" dxfId="11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9" tint="0.79998168889431442"/>
  </sheetPr>
  <dimension ref="A1:R30"/>
  <sheetViews>
    <sheetView topLeftCell="B1" workbookViewId="0">
      <selection activeCell="P9" sqref="P9"/>
    </sheetView>
  </sheetViews>
  <sheetFormatPr defaultRowHeight="12.75" x14ac:dyDescent="0.2"/>
  <cols>
    <col min="1" max="1" width="17.42578125" style="3" customWidth="1"/>
    <col min="2" max="2" width="47.42578125" customWidth="1"/>
    <col min="3" max="3" width="13.5703125" customWidth="1"/>
    <col min="4" max="4" width="16.42578125" customWidth="1"/>
    <col min="5" max="5" width="17.42578125" customWidth="1"/>
    <col min="6" max="7" width="14.140625" bestFit="1" customWidth="1"/>
    <col min="8" max="8" width="15.5703125" customWidth="1"/>
    <col min="9" max="9" width="2.42578125" customWidth="1"/>
    <col min="10" max="10" width="21.85546875" bestFit="1" customWidth="1"/>
    <col min="11" max="11" width="19.42578125" bestFit="1" customWidth="1"/>
    <col min="12" max="12" width="4" bestFit="1" customWidth="1"/>
    <col min="15" max="15" width="21.42578125" customWidth="1"/>
    <col min="16" max="16" width="15.85546875" customWidth="1"/>
  </cols>
  <sheetData>
    <row r="1" spans="1:18" ht="12" customHeight="1" x14ac:dyDescent="0.2">
      <c r="A1" s="118" t="s">
        <v>12</v>
      </c>
      <c r="B1" s="119"/>
      <c r="C1" s="119"/>
      <c r="D1" s="119"/>
      <c r="E1" s="119"/>
      <c r="F1" s="119"/>
      <c r="G1" s="119"/>
      <c r="H1" s="119"/>
      <c r="J1" s="113" t="s">
        <v>13</v>
      </c>
      <c r="K1" s="113"/>
      <c r="L1" s="113"/>
      <c r="M1" s="113"/>
      <c r="N1" s="113"/>
      <c r="O1" s="113"/>
      <c r="P1" s="113"/>
    </row>
    <row r="2" spans="1:18" ht="12" customHeight="1" x14ac:dyDescent="0.2">
      <c r="A2" s="118"/>
      <c r="B2" s="119"/>
      <c r="C2" s="119"/>
      <c r="D2" s="119"/>
      <c r="E2" s="119"/>
      <c r="F2" s="119"/>
      <c r="G2" s="119"/>
      <c r="H2" s="119"/>
      <c r="J2" s="74" t="s">
        <v>508</v>
      </c>
      <c r="K2" s="88">
        <v>3472.3</v>
      </c>
      <c r="L2" s="74"/>
      <c r="M2" s="74"/>
      <c r="N2" s="74"/>
      <c r="O2" s="74"/>
      <c r="P2" s="74"/>
    </row>
    <row r="3" spans="1:18" ht="12" customHeight="1" x14ac:dyDescent="0.2">
      <c r="A3" s="118"/>
      <c r="B3" s="119"/>
      <c r="C3" s="119"/>
      <c r="D3" s="119"/>
      <c r="E3" s="119"/>
      <c r="F3" s="119"/>
      <c r="G3" s="119"/>
      <c r="H3" s="119"/>
      <c r="J3" t="s">
        <v>509</v>
      </c>
      <c r="K3" s="21">
        <f>SUM(M9:M144)</f>
        <v>3472.3</v>
      </c>
      <c r="L3" s="74"/>
      <c r="M3" s="74"/>
      <c r="N3" s="74"/>
      <c r="O3" s="74"/>
      <c r="P3" s="74"/>
    </row>
    <row r="4" spans="1:18" ht="12" customHeight="1" x14ac:dyDescent="0.2">
      <c r="A4" s="114" t="s">
        <v>272</v>
      </c>
      <c r="B4" s="113"/>
      <c r="C4" s="113"/>
      <c r="D4" s="113"/>
      <c r="E4" s="113"/>
      <c r="F4" s="113"/>
      <c r="G4" s="113"/>
      <c r="H4" s="113"/>
      <c r="J4" t="s">
        <v>510</v>
      </c>
      <c r="K4" s="21">
        <f>K2-K3</f>
        <v>0</v>
      </c>
    </row>
    <row r="5" spans="1:18" ht="12" customHeight="1" x14ac:dyDescent="0.2">
      <c r="A5" s="9" t="s">
        <v>3</v>
      </c>
      <c r="B5" s="10" t="str">
        <f>CONCATENATE(Header!$E$4,"Lodge")</f>
        <v>MC-250816Lodge</v>
      </c>
      <c r="C5" s="8"/>
      <c r="D5" s="8"/>
      <c r="E5" s="8"/>
      <c r="J5" s="115" t="s">
        <v>15</v>
      </c>
      <c r="K5" s="115"/>
      <c r="L5" s="115"/>
      <c r="M5" s="115"/>
      <c r="N5" s="115"/>
      <c r="O5" s="115"/>
      <c r="P5" s="115"/>
      <c r="Q5" s="115"/>
    </row>
    <row r="6" spans="1:18" ht="12" customHeight="1" x14ac:dyDescent="0.2">
      <c r="A6" s="9" t="s">
        <v>5</v>
      </c>
      <c r="B6" s="12">
        <f>Header!$E$5</f>
        <v>45885</v>
      </c>
      <c r="C6" s="8"/>
      <c r="D6" s="8"/>
      <c r="E6" s="116" t="s">
        <v>16</v>
      </c>
      <c r="F6" s="116"/>
      <c r="G6" s="116"/>
      <c r="H6" s="116"/>
    </row>
    <row r="7" spans="1:18" ht="12" customHeight="1" thickBot="1" x14ac:dyDescent="0.25">
      <c r="A7" s="11"/>
      <c r="B7" s="8"/>
      <c r="C7" s="8"/>
      <c r="D7" s="8"/>
      <c r="E7" s="117"/>
      <c r="F7" s="117"/>
      <c r="G7" s="117"/>
      <c r="H7" s="117"/>
    </row>
    <row r="8" spans="1:18" ht="45.75" thickBot="1" x14ac:dyDescent="0.25">
      <c r="A8" s="32" t="s">
        <v>17</v>
      </c>
      <c r="B8" s="33" t="s">
        <v>18</v>
      </c>
      <c r="C8" s="33" t="s">
        <v>19</v>
      </c>
      <c r="D8" s="33" t="s">
        <v>20</v>
      </c>
      <c r="E8" s="19" t="s">
        <v>36</v>
      </c>
      <c r="F8" s="16" t="s">
        <v>22</v>
      </c>
      <c r="G8" s="17" t="s">
        <v>23</v>
      </c>
      <c r="H8" s="18" t="s">
        <v>24</v>
      </c>
      <c r="J8" s="32" t="s">
        <v>25</v>
      </c>
      <c r="K8" s="33" t="s">
        <v>3</v>
      </c>
      <c r="L8" s="33" t="s">
        <v>26</v>
      </c>
      <c r="M8" s="33" t="s">
        <v>27</v>
      </c>
      <c r="N8" s="34" t="s">
        <v>28</v>
      </c>
      <c r="O8" s="34" t="s">
        <v>29</v>
      </c>
      <c r="P8" s="34" t="s">
        <v>30</v>
      </c>
      <c r="R8" s="90" t="s">
        <v>511</v>
      </c>
    </row>
    <row r="9" spans="1:18" ht="15.75" thickBot="1" x14ac:dyDescent="0.25">
      <c r="A9" s="45">
        <v>45860</v>
      </c>
      <c r="B9" s="45" t="s">
        <v>273</v>
      </c>
      <c r="C9" s="46">
        <v>3472.3</v>
      </c>
      <c r="D9" s="46"/>
      <c r="E9" s="14" t="s">
        <v>464</v>
      </c>
      <c r="F9" s="49"/>
      <c r="G9" s="49"/>
      <c r="H9" s="15">
        <v>199999991130</v>
      </c>
      <c r="J9" s="51">
        <f t="shared" ref="J9" si="0">IF(F9&gt;0,(_xlfn.CONCAT(F9,".",G9)),H9)</f>
        <v>199999991130</v>
      </c>
      <c r="K9" s="52" t="str">
        <f>_xlfn.CONCAT("W Lodge-",(LEFT(B9,15)),"-",E9)</f>
        <v>W Lodge-CBSA-ASFC OTTAW-Import bond for Canada under the CARM regulations</v>
      </c>
      <c r="L9" s="52" t="s">
        <v>32</v>
      </c>
      <c r="M9" s="53">
        <f>IF(C9&gt;0,C9,-D9)</f>
        <v>3472.3</v>
      </c>
      <c r="N9" s="54" t="s">
        <v>150</v>
      </c>
      <c r="O9" s="44"/>
      <c r="P9" s="55"/>
      <c r="Q9" t="s">
        <v>34</v>
      </c>
      <c r="R9" s="21">
        <f>LEN(K9)</f>
        <v>73</v>
      </c>
    </row>
    <row r="10" spans="1:18" ht="15.75" thickBot="1" x14ac:dyDescent="0.25">
      <c r="A10" s="47"/>
      <c r="B10" s="47"/>
      <c r="C10" s="48"/>
      <c r="D10" s="48"/>
      <c r="E10" s="13"/>
      <c r="F10" s="13"/>
      <c r="G10" s="13"/>
      <c r="H10" s="50"/>
      <c r="J10" s="51"/>
      <c r="K10" s="52"/>
      <c r="L10" s="52"/>
      <c r="M10" s="53"/>
      <c r="N10" s="54"/>
      <c r="O10" s="44"/>
      <c r="P10" s="54"/>
      <c r="R10" s="21">
        <f t="shared" ref="R10:R30" si="1">LEN(K10)</f>
        <v>0</v>
      </c>
    </row>
    <row r="11" spans="1:18" ht="15.75" thickBot="1" x14ac:dyDescent="0.25">
      <c r="A11" s="47"/>
      <c r="B11" s="47"/>
      <c r="C11" s="48"/>
      <c r="D11" s="48"/>
      <c r="E11" s="13"/>
      <c r="F11" s="50"/>
      <c r="G11" s="50"/>
      <c r="H11" s="13"/>
      <c r="J11" s="51"/>
      <c r="K11" s="52"/>
      <c r="L11" s="52"/>
      <c r="M11" s="53"/>
      <c r="N11" s="54"/>
      <c r="O11" s="44"/>
      <c r="P11" s="54"/>
      <c r="R11" s="21">
        <f t="shared" si="1"/>
        <v>0</v>
      </c>
    </row>
    <row r="12" spans="1:18" ht="15.75" thickBot="1" x14ac:dyDescent="0.25">
      <c r="A12" s="47"/>
      <c r="B12" s="47"/>
      <c r="C12" s="48"/>
      <c r="D12" s="48"/>
      <c r="E12" s="13"/>
      <c r="F12" s="13"/>
      <c r="G12" s="13"/>
      <c r="H12" s="50"/>
      <c r="J12" s="51"/>
      <c r="K12" s="52"/>
      <c r="L12" s="52"/>
      <c r="M12" s="53"/>
      <c r="N12" s="54"/>
      <c r="O12" s="44"/>
      <c r="P12" s="54"/>
      <c r="R12" s="21">
        <f t="shared" si="1"/>
        <v>0</v>
      </c>
    </row>
    <row r="13" spans="1:18" ht="15.75" thickBot="1" x14ac:dyDescent="0.25">
      <c r="A13" s="47"/>
      <c r="B13" s="47"/>
      <c r="C13" s="48"/>
      <c r="D13" s="48"/>
      <c r="E13" s="13"/>
      <c r="F13" s="13"/>
      <c r="G13" s="13"/>
      <c r="H13" s="13"/>
      <c r="J13" s="51"/>
      <c r="K13" s="52"/>
      <c r="L13" s="52"/>
      <c r="M13" s="53"/>
      <c r="N13" s="54"/>
      <c r="O13" s="44"/>
      <c r="P13" s="54"/>
      <c r="R13" s="21">
        <f t="shared" si="1"/>
        <v>0</v>
      </c>
    </row>
    <row r="14" spans="1:18" ht="15.75" thickBot="1" x14ac:dyDescent="0.25">
      <c r="A14" s="47"/>
      <c r="B14" s="47"/>
      <c r="C14" s="48"/>
      <c r="D14" s="48"/>
      <c r="E14" s="13"/>
      <c r="F14" s="13"/>
      <c r="G14" s="13"/>
      <c r="H14" s="13"/>
      <c r="J14" s="51"/>
      <c r="K14" s="52"/>
      <c r="L14" s="52"/>
      <c r="M14" s="53"/>
      <c r="N14" s="54"/>
      <c r="O14" s="44"/>
      <c r="P14" s="54"/>
      <c r="R14" s="21">
        <f t="shared" si="1"/>
        <v>0</v>
      </c>
    </row>
    <row r="15" spans="1:18" ht="15.75" thickBot="1" x14ac:dyDescent="0.25">
      <c r="A15" s="47"/>
      <c r="B15" s="47"/>
      <c r="C15" s="48"/>
      <c r="D15" s="48"/>
      <c r="E15" s="13"/>
      <c r="F15" s="13"/>
      <c r="G15" s="13"/>
      <c r="H15" s="13"/>
      <c r="J15" s="51"/>
      <c r="K15" s="52"/>
      <c r="L15" s="52"/>
      <c r="M15" s="53"/>
      <c r="N15" s="54"/>
      <c r="O15" s="44"/>
      <c r="P15" s="54"/>
      <c r="R15" s="21">
        <f t="shared" si="1"/>
        <v>0</v>
      </c>
    </row>
    <row r="16" spans="1:18" ht="15.75" thickBot="1" x14ac:dyDescent="0.25">
      <c r="A16" s="47"/>
      <c r="B16" s="47"/>
      <c r="C16" s="48"/>
      <c r="D16" s="48"/>
      <c r="E16" s="13"/>
      <c r="F16" s="13"/>
      <c r="G16" s="13"/>
      <c r="H16" s="13"/>
      <c r="J16" s="51"/>
      <c r="K16" s="52"/>
      <c r="L16" s="52"/>
      <c r="M16" s="53"/>
      <c r="N16" s="54"/>
      <c r="O16" s="44"/>
      <c r="P16" s="54"/>
      <c r="R16" s="21">
        <f t="shared" si="1"/>
        <v>0</v>
      </c>
    </row>
    <row r="17" spans="11:18" x14ac:dyDescent="0.2">
      <c r="K17" s="52"/>
      <c r="R17" s="21">
        <f t="shared" si="1"/>
        <v>0</v>
      </c>
    </row>
    <row r="18" spans="11:18" x14ac:dyDescent="0.2">
      <c r="R18" s="21">
        <f t="shared" si="1"/>
        <v>0</v>
      </c>
    </row>
    <row r="19" spans="11:18" x14ac:dyDescent="0.2">
      <c r="R19" s="21">
        <f t="shared" si="1"/>
        <v>0</v>
      </c>
    </row>
    <row r="20" spans="11:18" x14ac:dyDescent="0.2">
      <c r="R20" s="21">
        <f t="shared" si="1"/>
        <v>0</v>
      </c>
    </row>
    <row r="21" spans="11:18" x14ac:dyDescent="0.2">
      <c r="R21" s="21">
        <f t="shared" si="1"/>
        <v>0</v>
      </c>
    </row>
    <row r="22" spans="11:18" x14ac:dyDescent="0.2">
      <c r="R22" s="21">
        <f t="shared" si="1"/>
        <v>0</v>
      </c>
    </row>
    <row r="23" spans="11:18" x14ac:dyDescent="0.2">
      <c r="R23" s="21">
        <f t="shared" si="1"/>
        <v>0</v>
      </c>
    </row>
    <row r="24" spans="11:18" x14ac:dyDescent="0.2">
      <c r="R24" s="21">
        <f t="shared" si="1"/>
        <v>0</v>
      </c>
    </row>
    <row r="25" spans="11:18" x14ac:dyDescent="0.2">
      <c r="R25" s="21">
        <f t="shared" si="1"/>
        <v>0</v>
      </c>
    </row>
    <row r="26" spans="11:18" x14ac:dyDescent="0.2">
      <c r="R26" s="21">
        <f t="shared" si="1"/>
        <v>0</v>
      </c>
    </row>
    <row r="27" spans="11:18" x14ac:dyDescent="0.2">
      <c r="R27" s="21">
        <f t="shared" si="1"/>
        <v>0</v>
      </c>
    </row>
    <row r="28" spans="11:18" x14ac:dyDescent="0.2">
      <c r="R28" s="21">
        <f t="shared" si="1"/>
        <v>0</v>
      </c>
    </row>
    <row r="29" spans="11:18" x14ac:dyDescent="0.2">
      <c r="R29" s="21">
        <f t="shared" si="1"/>
        <v>0</v>
      </c>
    </row>
    <row r="30" spans="11:18" x14ac:dyDescent="0.2">
      <c r="R30" s="21">
        <f t="shared" si="1"/>
        <v>0</v>
      </c>
    </row>
  </sheetData>
  <mergeCells count="5">
    <mergeCell ref="J1:P1"/>
    <mergeCell ref="A4:H4"/>
    <mergeCell ref="J5:Q5"/>
    <mergeCell ref="E6:H7"/>
    <mergeCell ref="A1:H3"/>
  </mergeCells>
  <conditionalFormatting sqref="B16:B48">
    <cfRule type="cellIs" dxfId="10" priority="1" operator="lessThan">
      <formula>0</formula>
    </cfRule>
  </conditionalFormatting>
  <dataValidations count="1">
    <dataValidation type="list" allowBlank="1" showInputMessage="1" showErrorMessage="1" sqref="C16:C48" xr:uid="{FC6A70A9-2419-468A-9D30-94B7C389493A}">
      <formula1>"GST 10%, GST FREE"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A9CA8-C694-41DF-B3B6-90B2DBED63BE}">
  <sheetPr>
    <tabColor theme="9" tint="0.79998168889431442"/>
  </sheetPr>
  <dimension ref="A1:R30"/>
  <sheetViews>
    <sheetView topLeftCell="B1" workbookViewId="0">
      <selection activeCell="J16" sqref="J16:P18"/>
    </sheetView>
  </sheetViews>
  <sheetFormatPr defaultRowHeight="12.75" x14ac:dyDescent="0.2"/>
  <cols>
    <col min="1" max="1" width="17.42578125" style="3" customWidth="1"/>
    <col min="2" max="2" width="47.42578125" customWidth="1"/>
    <col min="3" max="3" width="13.5703125" customWidth="1"/>
    <col min="4" max="4" width="16.42578125" customWidth="1"/>
    <col min="5" max="5" width="11.85546875" customWidth="1"/>
    <col min="6" max="6" width="14.140625" bestFit="1" customWidth="1"/>
    <col min="7" max="7" width="13.42578125" bestFit="1" customWidth="1"/>
    <col min="8" max="8" width="15.5703125" customWidth="1"/>
    <col min="9" max="9" width="2.42578125" customWidth="1"/>
    <col min="10" max="10" width="21.85546875" bestFit="1" customWidth="1"/>
    <col min="11" max="11" width="53.140625" bestFit="1" customWidth="1"/>
    <col min="12" max="12" width="4" bestFit="1" customWidth="1"/>
    <col min="15" max="15" width="21.42578125" customWidth="1"/>
    <col min="16" max="16" width="15.85546875" customWidth="1"/>
  </cols>
  <sheetData>
    <row r="1" spans="1:18" ht="12" customHeight="1" x14ac:dyDescent="0.2">
      <c r="A1" s="118" t="s">
        <v>12</v>
      </c>
      <c r="B1" s="119"/>
      <c r="C1" s="119"/>
      <c r="D1" s="119"/>
      <c r="E1" s="119"/>
      <c r="F1" s="119"/>
      <c r="G1" s="119"/>
      <c r="H1" s="119"/>
      <c r="J1" s="113" t="s">
        <v>13</v>
      </c>
      <c r="K1" s="113"/>
      <c r="L1" s="113"/>
      <c r="M1" s="113"/>
      <c r="N1" s="113"/>
      <c r="O1" s="113"/>
      <c r="P1" s="113"/>
    </row>
    <row r="2" spans="1:18" ht="12" customHeight="1" x14ac:dyDescent="0.2">
      <c r="A2" s="118"/>
      <c r="B2" s="119"/>
      <c r="C2" s="119"/>
      <c r="D2" s="119"/>
      <c r="E2" s="119"/>
      <c r="F2" s="119"/>
      <c r="G2" s="119"/>
      <c r="H2" s="119"/>
      <c r="J2" s="74" t="s">
        <v>508</v>
      </c>
      <c r="K2" s="88">
        <v>427.96</v>
      </c>
      <c r="L2" s="74"/>
      <c r="M2" s="74"/>
      <c r="N2" s="74"/>
      <c r="O2" s="74"/>
      <c r="P2" s="74"/>
    </row>
    <row r="3" spans="1:18" ht="12" customHeight="1" x14ac:dyDescent="0.2">
      <c r="A3" s="118"/>
      <c r="B3" s="119"/>
      <c r="C3" s="119"/>
      <c r="D3" s="119"/>
      <c r="E3" s="119"/>
      <c r="F3" s="119"/>
      <c r="G3" s="119"/>
      <c r="H3" s="119"/>
      <c r="J3" t="s">
        <v>509</v>
      </c>
      <c r="K3" s="21">
        <f>SUM(M9:M144)</f>
        <v>427.96</v>
      </c>
      <c r="L3" s="74"/>
      <c r="M3" s="74"/>
      <c r="N3" s="74"/>
      <c r="O3" s="74"/>
      <c r="P3" s="74"/>
    </row>
    <row r="4" spans="1:18" ht="12" customHeight="1" x14ac:dyDescent="0.2">
      <c r="A4" s="114" t="s">
        <v>274</v>
      </c>
      <c r="B4" s="113"/>
      <c r="C4" s="113"/>
      <c r="D4" s="113"/>
      <c r="E4" s="113"/>
      <c r="F4" s="113"/>
      <c r="G4" s="113"/>
      <c r="H4" s="113"/>
      <c r="J4" t="s">
        <v>510</v>
      </c>
      <c r="K4" s="21">
        <f>K2-K3</f>
        <v>0</v>
      </c>
    </row>
    <row r="5" spans="1:18" ht="12" customHeight="1" x14ac:dyDescent="0.2">
      <c r="A5" s="9" t="s">
        <v>3</v>
      </c>
      <c r="B5" s="10" t="str">
        <f>CONCATENATE(Header!$E$4,"McLaughlin")</f>
        <v>MC-250816McLaughlin</v>
      </c>
      <c r="C5" s="8"/>
      <c r="D5" s="8"/>
      <c r="E5" s="8"/>
      <c r="J5" s="115" t="s">
        <v>15</v>
      </c>
      <c r="K5" s="115"/>
      <c r="L5" s="115"/>
      <c r="M5" s="115"/>
      <c r="N5" s="115"/>
      <c r="O5" s="115"/>
      <c r="P5" s="115"/>
      <c r="Q5" s="115"/>
    </row>
    <row r="6" spans="1:18" ht="12" customHeight="1" x14ac:dyDescent="0.2">
      <c r="A6" s="9" t="s">
        <v>5</v>
      </c>
      <c r="B6" s="12">
        <f>Header!$E$5</f>
        <v>45885</v>
      </c>
      <c r="C6" s="8"/>
      <c r="D6" s="8"/>
      <c r="E6" s="116" t="s">
        <v>16</v>
      </c>
      <c r="F6" s="116"/>
      <c r="G6" s="116"/>
      <c r="H6" s="116"/>
    </row>
    <row r="7" spans="1:18" ht="12" customHeight="1" thickBot="1" x14ac:dyDescent="0.25">
      <c r="A7" s="11"/>
      <c r="B7" s="8"/>
      <c r="C7" s="8"/>
      <c r="D7" s="8"/>
      <c r="E7" s="117"/>
      <c r="F7" s="117"/>
      <c r="G7" s="117"/>
      <c r="H7" s="117"/>
    </row>
    <row r="8" spans="1:18" ht="45.75" thickBot="1" x14ac:dyDescent="0.25">
      <c r="A8" s="32" t="s">
        <v>17</v>
      </c>
      <c r="B8" s="33" t="s">
        <v>18</v>
      </c>
      <c r="C8" s="33" t="s">
        <v>19</v>
      </c>
      <c r="D8" s="33" t="s">
        <v>20</v>
      </c>
      <c r="E8" s="19" t="s">
        <v>36</v>
      </c>
      <c r="F8" s="16" t="s">
        <v>22</v>
      </c>
      <c r="G8" s="17" t="s">
        <v>23</v>
      </c>
      <c r="H8" s="18" t="s">
        <v>24</v>
      </c>
      <c r="J8" s="32" t="s">
        <v>25</v>
      </c>
      <c r="K8" s="33" t="s">
        <v>3</v>
      </c>
      <c r="L8" s="33" t="s">
        <v>26</v>
      </c>
      <c r="M8" s="33" t="s">
        <v>27</v>
      </c>
      <c r="N8" s="34" t="s">
        <v>28</v>
      </c>
      <c r="O8" s="34" t="s">
        <v>29</v>
      </c>
      <c r="P8" s="34" t="s">
        <v>30</v>
      </c>
      <c r="R8" s="90" t="s">
        <v>511</v>
      </c>
    </row>
    <row r="9" spans="1:18" ht="15.75" thickBot="1" x14ac:dyDescent="0.25">
      <c r="A9" s="45">
        <v>45882</v>
      </c>
      <c r="B9" s="45" t="s">
        <v>275</v>
      </c>
      <c r="C9" s="46">
        <v>17.41</v>
      </c>
      <c r="D9" s="46"/>
      <c r="E9" s="79" t="s">
        <v>442</v>
      </c>
      <c r="F9" s="49">
        <v>1051</v>
      </c>
      <c r="G9" s="14" t="s">
        <v>351</v>
      </c>
      <c r="H9" s="15"/>
      <c r="J9" s="51" t="str">
        <f t="shared" ref="J9:J16" si="0">IF(F9&gt;0,(_xlfn.CONCAT(F9,".",G9)),H9)</f>
        <v>1051.CONS</v>
      </c>
      <c r="K9" s="52" t="str">
        <f>_xlfn.CONCAT("S McLaughlin-",(LEFT(B9,15)),"-",E9)</f>
        <v>S McLaughlin-METRO PETROLEUM-Petrol CN pump</v>
      </c>
      <c r="L9" s="52" t="s">
        <v>32</v>
      </c>
      <c r="M9" s="53">
        <f>IF(C9&gt;0,C9,-D9)</f>
        <v>17.41</v>
      </c>
      <c r="N9" s="54" t="s">
        <v>33</v>
      </c>
      <c r="O9" s="44"/>
      <c r="P9" s="55"/>
      <c r="Q9" t="s">
        <v>34</v>
      </c>
      <c r="R9" s="21">
        <f>LEN(K9)</f>
        <v>43</v>
      </c>
    </row>
    <row r="10" spans="1:18" ht="23.25" thickBot="1" x14ac:dyDescent="0.25">
      <c r="A10" s="45">
        <v>45881</v>
      </c>
      <c r="B10" s="45" t="s">
        <v>276</v>
      </c>
      <c r="C10" s="46">
        <v>21.3</v>
      </c>
      <c r="D10" s="46"/>
      <c r="E10" s="79" t="s">
        <v>443</v>
      </c>
      <c r="F10" s="49">
        <v>1051</v>
      </c>
      <c r="G10" s="14" t="s">
        <v>126</v>
      </c>
      <c r="H10" s="15"/>
      <c r="J10" s="51" t="str">
        <f t="shared" si="0"/>
        <v>1051.STAF</v>
      </c>
      <c r="K10" s="52" t="str">
        <f t="shared" ref="K10:K18" si="1">_xlfn.CONCAT("S McLaughlin-",(LEFT(B10,15)),"-",E10)</f>
        <v>S McLaughlin-COLES 7798 BALL-Wed lunch drinks</v>
      </c>
      <c r="L10" s="52" t="s">
        <v>32</v>
      </c>
      <c r="M10" s="53">
        <f t="shared" ref="M10:M16" si="2">IF(C10&gt;0,C10,-D10)</f>
        <v>21.3</v>
      </c>
      <c r="N10" s="54" t="s">
        <v>33</v>
      </c>
      <c r="O10" s="44"/>
      <c r="P10" s="55"/>
      <c r="R10" s="21">
        <f t="shared" ref="R10:R30" si="3">LEN(K10)</f>
        <v>45</v>
      </c>
    </row>
    <row r="11" spans="1:18" ht="23.25" thickBot="1" x14ac:dyDescent="0.25">
      <c r="A11" s="45">
        <v>45878</v>
      </c>
      <c r="B11" s="45" t="s">
        <v>275</v>
      </c>
      <c r="C11" s="46">
        <v>60.4</v>
      </c>
      <c r="D11" s="46"/>
      <c r="E11" s="79" t="s">
        <v>444</v>
      </c>
      <c r="F11" s="49">
        <v>1051</v>
      </c>
      <c r="G11" s="14" t="s">
        <v>505</v>
      </c>
      <c r="H11" s="15"/>
      <c r="J11" s="51" t="str">
        <f>IF(F11&gt;0,(_xlfn.CONCAT(F11,".",G11)),H11)</f>
        <v>1051.MVPF</v>
      </c>
      <c r="K11" s="52" t="str">
        <f t="shared" si="1"/>
        <v>S McLaughlin-METRO PETROLEUM-Petrol Personal Car use</v>
      </c>
      <c r="L11" s="52" t="s">
        <v>32</v>
      </c>
      <c r="M11" s="53">
        <f t="shared" si="2"/>
        <v>60.4</v>
      </c>
      <c r="N11" s="54" t="s">
        <v>33</v>
      </c>
      <c r="O11" s="44"/>
      <c r="P11" s="55"/>
      <c r="R11" s="21">
        <f t="shared" si="3"/>
        <v>52</v>
      </c>
    </row>
    <row r="12" spans="1:18" ht="23.25" thickBot="1" x14ac:dyDescent="0.25">
      <c r="A12" s="45">
        <v>45876</v>
      </c>
      <c r="B12" s="45" t="s">
        <v>277</v>
      </c>
      <c r="C12" s="46">
        <v>79.41</v>
      </c>
      <c r="D12" s="46"/>
      <c r="E12" s="79" t="s">
        <v>445</v>
      </c>
      <c r="F12" s="49">
        <v>1051</v>
      </c>
      <c r="G12" s="14" t="s">
        <v>495</v>
      </c>
      <c r="H12" s="15"/>
      <c r="J12" s="51" t="str">
        <f t="shared" si="0"/>
        <v>1051.SPPE</v>
      </c>
      <c r="K12" s="52" t="str">
        <f t="shared" si="1"/>
        <v>S McLaughlin-BUNNINGS 730000-Safety gloves, cable ties</v>
      </c>
      <c r="L12" s="52" t="s">
        <v>32</v>
      </c>
      <c r="M12" s="53">
        <f t="shared" si="2"/>
        <v>79.41</v>
      </c>
      <c r="N12" s="54" t="s">
        <v>33</v>
      </c>
      <c r="O12" s="44"/>
      <c r="P12" s="55"/>
      <c r="R12" s="21">
        <f t="shared" si="3"/>
        <v>54</v>
      </c>
    </row>
    <row r="13" spans="1:18" ht="23.25" thickBot="1" x14ac:dyDescent="0.25">
      <c r="A13" s="45">
        <v>45870</v>
      </c>
      <c r="B13" s="45" t="s">
        <v>93</v>
      </c>
      <c r="C13" s="46">
        <v>85.18</v>
      </c>
      <c r="D13" s="46"/>
      <c r="E13" s="79" t="s">
        <v>446</v>
      </c>
      <c r="F13" s="49">
        <v>1051</v>
      </c>
      <c r="G13" s="14" t="s">
        <v>351</v>
      </c>
      <c r="H13" s="15"/>
      <c r="J13" s="51" t="str">
        <f t="shared" si="0"/>
        <v>1051.CONS</v>
      </c>
      <c r="K13" s="52" t="str">
        <f t="shared" si="1"/>
        <v>S McLaughlin-Ballarat Materi-Bottle Roll containers</v>
      </c>
      <c r="L13" s="52" t="s">
        <v>32</v>
      </c>
      <c r="M13" s="53">
        <f t="shared" si="2"/>
        <v>85.18</v>
      </c>
      <c r="N13" s="54" t="s">
        <v>33</v>
      </c>
      <c r="O13" s="44"/>
      <c r="P13" s="55"/>
      <c r="R13" s="21">
        <f t="shared" si="3"/>
        <v>51</v>
      </c>
    </row>
    <row r="14" spans="1:18" ht="15.75" thickBot="1" x14ac:dyDescent="0.25">
      <c r="A14" s="45">
        <v>45867</v>
      </c>
      <c r="B14" s="45" t="s">
        <v>275</v>
      </c>
      <c r="C14" s="46">
        <v>15.65</v>
      </c>
      <c r="D14" s="46"/>
      <c r="E14" s="79" t="s">
        <v>442</v>
      </c>
      <c r="F14" s="49">
        <v>1051</v>
      </c>
      <c r="G14" s="14" t="s">
        <v>351</v>
      </c>
      <c r="H14" s="15"/>
      <c r="J14" s="51" t="str">
        <f t="shared" si="0"/>
        <v>1051.CONS</v>
      </c>
      <c r="K14" s="52" t="str">
        <f t="shared" si="1"/>
        <v>S McLaughlin-METRO PETROLEUM-Petrol CN pump</v>
      </c>
      <c r="L14" s="52" t="s">
        <v>32</v>
      </c>
      <c r="M14" s="53">
        <f t="shared" si="2"/>
        <v>15.65</v>
      </c>
      <c r="N14" s="54" t="s">
        <v>33</v>
      </c>
      <c r="O14" s="44"/>
      <c r="P14" s="55"/>
      <c r="R14" s="21">
        <f t="shared" si="3"/>
        <v>43</v>
      </c>
    </row>
    <row r="15" spans="1:18" ht="23.25" thickBot="1" x14ac:dyDescent="0.25">
      <c r="A15" s="45">
        <v>45862</v>
      </c>
      <c r="B15" s="45" t="s">
        <v>278</v>
      </c>
      <c r="C15" s="46">
        <v>52</v>
      </c>
      <c r="D15" s="46"/>
      <c r="E15" s="79" t="s">
        <v>447</v>
      </c>
      <c r="F15" s="49">
        <v>1051</v>
      </c>
      <c r="G15" s="14" t="s">
        <v>495</v>
      </c>
      <c r="H15" s="15"/>
      <c r="J15" s="51" t="str">
        <f t="shared" si="0"/>
        <v>1051.SPPE</v>
      </c>
      <c r="K15" s="52" t="str">
        <f t="shared" si="1"/>
        <v>S McLaughlin-FIFTEEN NEEDLES-Hip Pocket Safety Gear</v>
      </c>
      <c r="L15" s="52" t="s">
        <v>32</v>
      </c>
      <c r="M15" s="53">
        <f t="shared" si="2"/>
        <v>52</v>
      </c>
      <c r="N15" s="54" t="s">
        <v>33</v>
      </c>
      <c r="O15" s="44"/>
      <c r="P15" s="55"/>
      <c r="R15" s="21">
        <f t="shared" si="3"/>
        <v>51</v>
      </c>
    </row>
    <row r="16" spans="1:18" ht="15.75" thickBot="1" x14ac:dyDescent="0.25">
      <c r="A16" s="45">
        <v>45862</v>
      </c>
      <c r="B16" s="45" t="s">
        <v>277</v>
      </c>
      <c r="C16" s="46">
        <v>9</v>
      </c>
      <c r="D16" s="46"/>
      <c r="E16" s="14" t="s">
        <v>448</v>
      </c>
      <c r="F16" s="49">
        <v>1051</v>
      </c>
      <c r="G16" s="14" t="s">
        <v>495</v>
      </c>
      <c r="H16" s="15"/>
      <c r="J16" s="51" t="str">
        <f t="shared" si="0"/>
        <v>1051.SPPE</v>
      </c>
      <c r="K16" s="52" t="str">
        <f t="shared" si="1"/>
        <v>S McLaughlin-BUNNINGS 730000-Safety Gloves</v>
      </c>
      <c r="L16" s="52" t="s">
        <v>32</v>
      </c>
      <c r="M16" s="53">
        <f t="shared" si="2"/>
        <v>9</v>
      </c>
      <c r="N16" s="54" t="s">
        <v>33</v>
      </c>
      <c r="O16" s="44"/>
      <c r="P16" s="55"/>
      <c r="R16" s="21">
        <f t="shared" si="3"/>
        <v>42</v>
      </c>
    </row>
    <row r="17" spans="1:18" ht="23.25" thickBot="1" x14ac:dyDescent="0.25">
      <c r="A17" s="45">
        <v>45861</v>
      </c>
      <c r="B17" s="45" t="s">
        <v>127</v>
      </c>
      <c r="C17" s="46">
        <v>27.6</v>
      </c>
      <c r="D17" s="46"/>
      <c r="E17" s="79" t="s">
        <v>443</v>
      </c>
      <c r="F17" s="49">
        <v>1051</v>
      </c>
      <c r="G17" s="14" t="s">
        <v>126</v>
      </c>
      <c r="H17" s="15"/>
      <c r="J17" s="51" t="str">
        <f t="shared" ref="J17:J18" si="4">IF(F17&gt;0,(_xlfn.CONCAT(F17,".",G17)),H17)</f>
        <v>1051.STAF</v>
      </c>
      <c r="K17" s="52" t="str">
        <f t="shared" si="1"/>
        <v>S McLaughlin-WOOLWORTHS     -Wed lunch drinks</v>
      </c>
      <c r="L17" s="52" t="s">
        <v>32</v>
      </c>
      <c r="M17" s="53">
        <f t="shared" ref="M17:M18" si="5">IF(C17&gt;0,C17,-D17)</f>
        <v>27.6</v>
      </c>
      <c r="N17" s="54" t="s">
        <v>33</v>
      </c>
      <c r="O17" s="44"/>
      <c r="P17" s="55"/>
      <c r="R17" s="21">
        <f t="shared" si="3"/>
        <v>45</v>
      </c>
    </row>
    <row r="18" spans="1:18" ht="23.25" thickBot="1" x14ac:dyDescent="0.25">
      <c r="A18" s="45">
        <v>45854</v>
      </c>
      <c r="B18" s="45" t="s">
        <v>279</v>
      </c>
      <c r="C18" s="46">
        <v>60.01</v>
      </c>
      <c r="D18" s="46"/>
      <c r="E18" s="79" t="s">
        <v>444</v>
      </c>
      <c r="F18" s="49">
        <v>1051</v>
      </c>
      <c r="G18" s="14" t="s">
        <v>505</v>
      </c>
      <c r="H18" s="15"/>
      <c r="J18" s="51" t="str">
        <f t="shared" si="4"/>
        <v>1051.MVPF</v>
      </c>
      <c r="K18" s="52" t="str">
        <f t="shared" si="1"/>
        <v>S McLaughlin-APCO MAIN RD BA-Petrol Personal Car use</v>
      </c>
      <c r="L18" s="52" t="s">
        <v>32</v>
      </c>
      <c r="M18" s="53">
        <f t="shared" si="5"/>
        <v>60.01</v>
      </c>
      <c r="N18" s="54" t="s">
        <v>33</v>
      </c>
      <c r="O18" s="44"/>
      <c r="P18" s="55"/>
      <c r="R18" s="21">
        <f t="shared" si="3"/>
        <v>52</v>
      </c>
    </row>
    <row r="19" spans="1:18" x14ac:dyDescent="0.2">
      <c r="R19" s="21">
        <f t="shared" si="3"/>
        <v>0</v>
      </c>
    </row>
    <row r="20" spans="1:18" x14ac:dyDescent="0.2">
      <c r="R20" s="21">
        <f t="shared" si="3"/>
        <v>0</v>
      </c>
    </row>
    <row r="21" spans="1:18" x14ac:dyDescent="0.2">
      <c r="R21" s="21">
        <f t="shared" si="3"/>
        <v>0</v>
      </c>
    </row>
    <row r="22" spans="1:18" x14ac:dyDescent="0.2">
      <c r="R22" s="21">
        <f t="shared" si="3"/>
        <v>0</v>
      </c>
    </row>
    <row r="23" spans="1:18" x14ac:dyDescent="0.2">
      <c r="R23" s="21">
        <f t="shared" si="3"/>
        <v>0</v>
      </c>
    </row>
    <row r="24" spans="1:18" x14ac:dyDescent="0.2">
      <c r="R24" s="21">
        <f t="shared" si="3"/>
        <v>0</v>
      </c>
    </row>
    <row r="25" spans="1:18" x14ac:dyDescent="0.2">
      <c r="R25" s="21">
        <f t="shared" si="3"/>
        <v>0</v>
      </c>
    </row>
    <row r="26" spans="1:18" x14ac:dyDescent="0.2">
      <c r="R26" s="21">
        <f t="shared" si="3"/>
        <v>0</v>
      </c>
    </row>
    <row r="27" spans="1:18" x14ac:dyDescent="0.2">
      <c r="R27" s="21">
        <f t="shared" si="3"/>
        <v>0</v>
      </c>
    </row>
    <row r="28" spans="1:18" x14ac:dyDescent="0.2">
      <c r="R28" s="21">
        <f t="shared" si="3"/>
        <v>0</v>
      </c>
    </row>
    <row r="29" spans="1:18" x14ac:dyDescent="0.2">
      <c r="R29" s="21">
        <f t="shared" si="3"/>
        <v>0</v>
      </c>
    </row>
    <row r="30" spans="1:18" x14ac:dyDescent="0.2">
      <c r="R30" s="21">
        <f t="shared" si="3"/>
        <v>0</v>
      </c>
    </row>
  </sheetData>
  <mergeCells count="5">
    <mergeCell ref="J1:P1"/>
    <mergeCell ref="A4:H4"/>
    <mergeCell ref="J5:Q5"/>
    <mergeCell ref="E6:H7"/>
    <mergeCell ref="A1:H3"/>
  </mergeCells>
  <conditionalFormatting sqref="B19:B48">
    <cfRule type="cellIs" dxfId="9" priority="1" operator="lessThan">
      <formula>0</formula>
    </cfRule>
  </conditionalFormatting>
  <dataValidations count="1">
    <dataValidation type="list" allowBlank="1" showInputMessage="1" showErrorMessage="1" sqref="C16:C48" xr:uid="{02D647E2-88C4-4479-953F-F5F4070B4C50}">
      <formula1>"GST 10%, GST FREE"</formula1>
    </dataValidation>
  </dataValidation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9" tint="0.79998168889431442"/>
  </sheetPr>
  <dimension ref="A1:V30"/>
  <sheetViews>
    <sheetView topLeftCell="C1" workbookViewId="0">
      <selection activeCell="J9" sqref="J9:P10"/>
    </sheetView>
  </sheetViews>
  <sheetFormatPr defaultRowHeight="12.75" x14ac:dyDescent="0.2"/>
  <cols>
    <col min="1" max="1" width="17.42578125" style="3" customWidth="1"/>
    <col min="2" max="2" width="47.42578125" customWidth="1"/>
    <col min="3" max="3" width="13.5703125" customWidth="1"/>
    <col min="4" max="4" width="16.42578125" customWidth="1"/>
    <col min="5" max="5" width="37.5703125" customWidth="1"/>
    <col min="6" max="6" width="14.140625" bestFit="1" customWidth="1"/>
    <col min="7" max="7" width="13.42578125" bestFit="1" customWidth="1"/>
    <col min="8" max="8" width="15.5703125" customWidth="1"/>
    <col min="9" max="9" width="2.42578125" customWidth="1"/>
    <col min="10" max="10" width="21.85546875" bestFit="1" customWidth="1"/>
    <col min="11" max="11" width="35.42578125" customWidth="1"/>
    <col min="12" max="12" width="4" bestFit="1" customWidth="1"/>
    <col min="15" max="15" width="21.42578125" customWidth="1"/>
    <col min="16" max="16" width="15.85546875" customWidth="1"/>
  </cols>
  <sheetData>
    <row r="1" spans="1:22" ht="12" customHeight="1" x14ac:dyDescent="0.2">
      <c r="A1" s="118" t="s">
        <v>12</v>
      </c>
      <c r="B1" s="119"/>
      <c r="C1" s="119"/>
      <c r="D1" s="119"/>
      <c r="E1" s="119"/>
      <c r="F1" s="119"/>
      <c r="G1" s="119"/>
      <c r="H1" s="119"/>
      <c r="J1" s="113" t="s">
        <v>13</v>
      </c>
      <c r="K1" s="113"/>
      <c r="L1" s="113"/>
      <c r="M1" s="113"/>
      <c r="N1" s="113"/>
      <c r="O1" s="113"/>
      <c r="P1" s="113"/>
    </row>
    <row r="2" spans="1:22" ht="12" customHeight="1" x14ac:dyDescent="0.2">
      <c r="A2" s="118"/>
      <c r="B2" s="119"/>
      <c r="C2" s="119"/>
      <c r="D2" s="119"/>
      <c r="E2" s="119"/>
      <c r="F2" s="119"/>
      <c r="G2" s="119"/>
      <c r="H2" s="119"/>
      <c r="J2" s="74" t="s">
        <v>508</v>
      </c>
      <c r="K2" s="88">
        <v>570</v>
      </c>
      <c r="L2" s="74"/>
      <c r="M2" s="74"/>
      <c r="N2" s="74"/>
      <c r="O2" s="74"/>
      <c r="P2" s="74"/>
    </row>
    <row r="3" spans="1:22" ht="12" customHeight="1" x14ac:dyDescent="0.2">
      <c r="A3" s="118"/>
      <c r="B3" s="119"/>
      <c r="C3" s="119"/>
      <c r="D3" s="119"/>
      <c r="E3" s="119"/>
      <c r="F3" s="119"/>
      <c r="G3" s="119"/>
      <c r="H3" s="119"/>
      <c r="J3" t="s">
        <v>509</v>
      </c>
      <c r="K3" s="21">
        <f>SUM(M9:M144)</f>
        <v>570</v>
      </c>
      <c r="L3" s="74"/>
      <c r="M3" s="74"/>
      <c r="N3" s="74"/>
      <c r="O3" s="74"/>
      <c r="P3" s="74"/>
    </row>
    <row r="4" spans="1:22" ht="12" customHeight="1" x14ac:dyDescent="0.2">
      <c r="A4" s="114" t="s">
        <v>280</v>
      </c>
      <c r="B4" s="113"/>
      <c r="C4" s="113"/>
      <c r="D4" s="113"/>
      <c r="E4" s="113"/>
      <c r="F4" s="113"/>
      <c r="G4" s="113"/>
      <c r="H4" s="113"/>
      <c r="J4" t="s">
        <v>510</v>
      </c>
      <c r="K4" s="21">
        <f>K2-K3</f>
        <v>0</v>
      </c>
    </row>
    <row r="5" spans="1:22" ht="12" customHeight="1" x14ac:dyDescent="0.2">
      <c r="A5" s="9" t="s">
        <v>3</v>
      </c>
      <c r="B5" s="10" t="str">
        <f>CONCATENATE(Header!$E$4,"Ntombela")</f>
        <v>MC-250816Ntombela</v>
      </c>
      <c r="C5" s="8"/>
      <c r="D5" s="8"/>
      <c r="E5" s="8"/>
      <c r="J5" s="115" t="s">
        <v>15</v>
      </c>
      <c r="K5" s="115"/>
      <c r="L5" s="115"/>
      <c r="M5" s="115"/>
      <c r="N5" s="115"/>
      <c r="O5" s="115"/>
      <c r="P5" s="115"/>
      <c r="Q5" s="115"/>
    </row>
    <row r="6" spans="1:22" ht="12" customHeight="1" x14ac:dyDescent="0.2">
      <c r="A6" s="9" t="s">
        <v>5</v>
      </c>
      <c r="B6" s="12">
        <f>Header!$E$5</f>
        <v>45885</v>
      </c>
      <c r="C6" s="8"/>
      <c r="D6" s="8"/>
      <c r="E6" s="116" t="s">
        <v>16</v>
      </c>
      <c r="F6" s="116"/>
      <c r="G6" s="116"/>
      <c r="H6" s="116"/>
    </row>
    <row r="7" spans="1:22" ht="12" customHeight="1" thickBot="1" x14ac:dyDescent="0.25">
      <c r="A7" s="11"/>
      <c r="B7" s="8"/>
      <c r="C7" s="8"/>
      <c r="D7" s="8"/>
      <c r="E7" s="117"/>
      <c r="F7" s="117"/>
      <c r="G7" s="117"/>
      <c r="H7" s="117"/>
    </row>
    <row r="8" spans="1:22" ht="45.75" thickBot="1" x14ac:dyDescent="0.25">
      <c r="A8" s="32" t="s">
        <v>17</v>
      </c>
      <c r="B8" s="33" t="s">
        <v>18</v>
      </c>
      <c r="C8" s="33" t="s">
        <v>19</v>
      </c>
      <c r="D8" s="33" t="s">
        <v>20</v>
      </c>
      <c r="E8" s="19" t="s">
        <v>36</v>
      </c>
      <c r="F8" s="16" t="s">
        <v>22</v>
      </c>
      <c r="G8" s="17" t="s">
        <v>23</v>
      </c>
      <c r="H8" s="18" t="s">
        <v>24</v>
      </c>
      <c r="J8" s="32" t="s">
        <v>25</v>
      </c>
      <c r="K8" s="33" t="s">
        <v>3</v>
      </c>
      <c r="L8" s="33" t="s">
        <v>26</v>
      </c>
      <c r="M8" s="33" t="s">
        <v>27</v>
      </c>
      <c r="N8" s="34" t="s">
        <v>28</v>
      </c>
      <c r="O8" s="34" t="s">
        <v>29</v>
      </c>
      <c r="P8" s="34" t="s">
        <v>30</v>
      </c>
      <c r="R8" s="90" t="s">
        <v>511</v>
      </c>
    </row>
    <row r="9" spans="1:22" ht="15.75" thickBot="1" x14ac:dyDescent="0.25">
      <c r="A9" s="45">
        <v>45876</v>
      </c>
      <c r="B9" s="45" t="s">
        <v>538</v>
      </c>
      <c r="C9" s="46">
        <v>20</v>
      </c>
      <c r="D9" s="46"/>
      <c r="E9" s="14" t="s">
        <v>541</v>
      </c>
      <c r="F9" s="49">
        <v>1041</v>
      </c>
      <c r="G9" s="14" t="s">
        <v>232</v>
      </c>
      <c r="H9" s="15"/>
      <c r="J9" s="51" t="str">
        <f t="shared" ref="J9:J10" si="0">IF(F9&gt;0,(_xlfn.CONCAT(F9,".",G9)),H9)</f>
        <v>1041.TRAV</v>
      </c>
      <c r="K9" s="52" t="str">
        <f>_xlfn.CONCAT("M Ntombela-",(LEFT(B9,15)),"-",E9)</f>
        <v>M Ntombela-MYKI-Train Fare to/from MelbMining Club Lunch</v>
      </c>
      <c r="L9" s="52" t="s">
        <v>32</v>
      </c>
      <c r="M9" s="53">
        <f>IF(C9&gt;0,C9,-D9)</f>
        <v>20</v>
      </c>
      <c r="N9" s="54" t="s">
        <v>33</v>
      </c>
      <c r="O9" s="44"/>
      <c r="P9" s="55"/>
      <c r="Q9" t="s">
        <v>34</v>
      </c>
      <c r="R9" s="21">
        <f>LEN(K9)</f>
        <v>56</v>
      </c>
    </row>
    <row r="10" spans="1:22" ht="15.75" thickBot="1" x14ac:dyDescent="0.25">
      <c r="A10" s="47">
        <v>45868</v>
      </c>
      <c r="B10" s="47" t="s">
        <v>539</v>
      </c>
      <c r="C10" s="48">
        <v>550</v>
      </c>
      <c r="D10" s="48"/>
      <c r="E10" s="13" t="s">
        <v>540</v>
      </c>
      <c r="F10" s="63"/>
      <c r="G10" s="13"/>
      <c r="H10" s="50">
        <v>199999991502</v>
      </c>
      <c r="J10" s="51">
        <f t="shared" si="0"/>
        <v>199999991502</v>
      </c>
      <c r="K10" s="52" t="str">
        <f>_xlfn.CONCAT("M Ntombela-",(LEFT(B10,15)),"-",E10)</f>
        <v>M Ntombela-AusIMM-12mth Subs 1041/MEMB</v>
      </c>
      <c r="L10" s="52" t="s">
        <v>32</v>
      </c>
      <c r="M10" s="53">
        <f t="shared" ref="M10" si="1">IF(C10&gt;0,C10,-D10)</f>
        <v>550</v>
      </c>
      <c r="N10" s="54" t="s">
        <v>33</v>
      </c>
      <c r="O10" s="44"/>
      <c r="P10" s="54"/>
      <c r="R10" s="21">
        <f t="shared" ref="R10:R30" si="2">LEN(K10)</f>
        <v>38</v>
      </c>
      <c r="U10" t="s">
        <v>168</v>
      </c>
      <c r="V10" t="s">
        <v>506</v>
      </c>
    </row>
    <row r="11" spans="1:22" ht="15.75" thickBot="1" x14ac:dyDescent="0.25">
      <c r="A11" s="47"/>
      <c r="B11" s="47"/>
      <c r="C11" s="48"/>
      <c r="D11" s="48"/>
      <c r="E11" s="13"/>
      <c r="F11" s="50"/>
      <c r="G11" s="50"/>
      <c r="H11" s="13"/>
      <c r="J11" s="51"/>
      <c r="K11" s="52"/>
      <c r="L11" s="52"/>
      <c r="M11" s="53"/>
      <c r="N11" s="54"/>
      <c r="O11" s="44"/>
      <c r="P11" s="54"/>
      <c r="R11" s="21">
        <f t="shared" si="2"/>
        <v>0</v>
      </c>
    </row>
    <row r="12" spans="1:22" ht="15.75" thickBot="1" x14ac:dyDescent="0.25">
      <c r="A12" s="47"/>
      <c r="B12" s="47"/>
      <c r="C12" s="48"/>
      <c r="D12" s="48"/>
      <c r="E12" s="13"/>
      <c r="F12" s="13"/>
      <c r="G12" s="13"/>
      <c r="H12" s="50"/>
      <c r="J12" s="51"/>
      <c r="K12" s="52"/>
      <c r="L12" s="52"/>
      <c r="M12" s="53"/>
      <c r="N12" s="54"/>
      <c r="O12" s="44"/>
      <c r="P12" s="54"/>
      <c r="R12" s="21">
        <f t="shared" si="2"/>
        <v>0</v>
      </c>
    </row>
    <row r="13" spans="1:22" ht="15.75" thickBot="1" x14ac:dyDescent="0.25">
      <c r="A13" s="47"/>
      <c r="B13" s="47"/>
      <c r="C13" s="48"/>
      <c r="D13" s="48"/>
      <c r="E13" s="13"/>
      <c r="F13" s="13"/>
      <c r="G13" s="13"/>
      <c r="H13" s="13"/>
      <c r="J13" s="51"/>
      <c r="K13" s="52"/>
      <c r="L13" s="52"/>
      <c r="M13" s="53"/>
      <c r="N13" s="54"/>
      <c r="O13" s="44"/>
      <c r="P13" s="54"/>
      <c r="R13" s="21">
        <f t="shared" si="2"/>
        <v>0</v>
      </c>
    </row>
    <row r="14" spans="1:22" ht="15.75" thickBot="1" x14ac:dyDescent="0.25">
      <c r="A14" s="47"/>
      <c r="B14" s="47"/>
      <c r="C14" s="48"/>
      <c r="D14" s="48"/>
      <c r="E14" s="13"/>
      <c r="F14" s="13"/>
      <c r="G14" s="13"/>
      <c r="H14" s="13"/>
      <c r="J14" s="51"/>
      <c r="K14" s="52"/>
      <c r="L14" s="52"/>
      <c r="M14" s="53"/>
      <c r="N14" s="54"/>
      <c r="O14" s="44"/>
      <c r="P14" s="54"/>
      <c r="R14" s="21">
        <f t="shared" si="2"/>
        <v>0</v>
      </c>
    </row>
    <row r="15" spans="1:22" ht="15.75" thickBot="1" x14ac:dyDescent="0.25">
      <c r="A15" s="47"/>
      <c r="B15" s="47"/>
      <c r="C15" s="48"/>
      <c r="D15" s="48"/>
      <c r="E15" s="13"/>
      <c r="F15" s="13"/>
      <c r="G15" s="13"/>
      <c r="H15" s="13"/>
      <c r="J15" s="51"/>
      <c r="K15" s="52"/>
      <c r="L15" s="52"/>
      <c r="M15" s="53"/>
      <c r="N15" s="54"/>
      <c r="O15" s="44"/>
      <c r="P15" s="54"/>
      <c r="R15" s="21">
        <f t="shared" si="2"/>
        <v>0</v>
      </c>
    </row>
    <row r="16" spans="1:22" ht="15.75" thickBot="1" x14ac:dyDescent="0.25">
      <c r="A16" s="47"/>
      <c r="B16" s="47"/>
      <c r="C16" s="48"/>
      <c r="D16" s="48"/>
      <c r="E16" s="13"/>
      <c r="F16" s="13"/>
      <c r="G16" s="13"/>
      <c r="H16" s="13"/>
      <c r="J16" s="51"/>
      <c r="K16" s="52"/>
      <c r="L16" s="52"/>
      <c r="M16" s="53"/>
      <c r="N16" s="54"/>
      <c r="O16" s="44"/>
      <c r="P16" s="54"/>
      <c r="R16" s="21">
        <f t="shared" si="2"/>
        <v>0</v>
      </c>
    </row>
    <row r="17" spans="18:18" x14ac:dyDescent="0.2">
      <c r="R17" s="21">
        <f t="shared" si="2"/>
        <v>0</v>
      </c>
    </row>
    <row r="18" spans="18:18" x14ac:dyDescent="0.2">
      <c r="R18" s="21">
        <f t="shared" si="2"/>
        <v>0</v>
      </c>
    </row>
    <row r="19" spans="18:18" x14ac:dyDescent="0.2">
      <c r="R19" s="21">
        <f t="shared" si="2"/>
        <v>0</v>
      </c>
    </row>
    <row r="20" spans="18:18" x14ac:dyDescent="0.2">
      <c r="R20" s="21">
        <f t="shared" si="2"/>
        <v>0</v>
      </c>
    </row>
    <row r="21" spans="18:18" x14ac:dyDescent="0.2">
      <c r="R21" s="21">
        <f t="shared" si="2"/>
        <v>0</v>
      </c>
    </row>
    <row r="22" spans="18:18" x14ac:dyDescent="0.2">
      <c r="R22" s="21">
        <f t="shared" si="2"/>
        <v>0</v>
      </c>
    </row>
    <row r="23" spans="18:18" x14ac:dyDescent="0.2">
      <c r="R23" s="21">
        <f t="shared" si="2"/>
        <v>0</v>
      </c>
    </row>
    <row r="24" spans="18:18" x14ac:dyDescent="0.2">
      <c r="R24" s="21">
        <f t="shared" si="2"/>
        <v>0</v>
      </c>
    </row>
    <row r="25" spans="18:18" x14ac:dyDescent="0.2">
      <c r="R25" s="21">
        <f t="shared" si="2"/>
        <v>0</v>
      </c>
    </row>
    <row r="26" spans="18:18" x14ac:dyDescent="0.2">
      <c r="R26" s="21">
        <f t="shared" si="2"/>
        <v>0</v>
      </c>
    </row>
    <row r="27" spans="18:18" x14ac:dyDescent="0.2">
      <c r="R27" s="21">
        <f t="shared" si="2"/>
        <v>0</v>
      </c>
    </row>
    <row r="28" spans="18:18" x14ac:dyDescent="0.2">
      <c r="R28" s="21">
        <f t="shared" si="2"/>
        <v>0</v>
      </c>
    </row>
    <row r="29" spans="18:18" x14ac:dyDescent="0.2">
      <c r="R29" s="21">
        <f t="shared" si="2"/>
        <v>0</v>
      </c>
    </row>
    <row r="30" spans="18:18" x14ac:dyDescent="0.2">
      <c r="R30" s="21">
        <f t="shared" si="2"/>
        <v>0</v>
      </c>
    </row>
  </sheetData>
  <mergeCells count="5">
    <mergeCell ref="J1:P1"/>
    <mergeCell ref="A4:H4"/>
    <mergeCell ref="J5:Q5"/>
    <mergeCell ref="E6:H7"/>
    <mergeCell ref="A1:H3"/>
  </mergeCells>
  <conditionalFormatting sqref="B16:B48">
    <cfRule type="cellIs" dxfId="8" priority="1" operator="lessThan">
      <formula>0</formula>
    </cfRule>
  </conditionalFormatting>
  <dataValidations count="1">
    <dataValidation type="list" allowBlank="1" showInputMessage="1" showErrorMessage="1" sqref="C16:C48" xr:uid="{7F5E6569-285B-4671-B6B7-6DDD3B56296E}">
      <formula1>"GST 10%, GST FREE"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4D92B-C334-427D-9B9C-933A4E1887CE}">
  <sheetPr>
    <tabColor theme="9" tint="0.79998168889431442"/>
  </sheetPr>
  <dimension ref="A1:R16"/>
  <sheetViews>
    <sheetView topLeftCell="F1" workbookViewId="0">
      <selection activeCell="J9" sqref="J9:P9"/>
    </sheetView>
  </sheetViews>
  <sheetFormatPr defaultRowHeight="12.75" x14ac:dyDescent="0.2"/>
  <cols>
    <col min="1" max="1" width="17.42578125" style="3" customWidth="1"/>
    <col min="2" max="2" width="47.42578125" customWidth="1"/>
    <col min="3" max="3" width="13.5703125" customWidth="1"/>
    <col min="4" max="4" width="16.42578125" customWidth="1"/>
    <col min="5" max="5" width="50.85546875" bestFit="1" customWidth="1"/>
    <col min="6" max="6" width="14.140625" bestFit="1" customWidth="1"/>
    <col min="7" max="7" width="13.42578125" bestFit="1" customWidth="1"/>
    <col min="8" max="8" width="15.5703125" customWidth="1"/>
    <col min="9" max="9" width="2.42578125" customWidth="1"/>
    <col min="10" max="10" width="21.85546875" bestFit="1" customWidth="1"/>
    <col min="11" max="11" width="100.85546875" bestFit="1" customWidth="1"/>
    <col min="12" max="12" width="4" bestFit="1" customWidth="1"/>
    <col min="15" max="15" width="21.42578125" customWidth="1"/>
    <col min="16" max="16" width="15.85546875" customWidth="1"/>
    <col min="18" max="18" width="10.85546875" bestFit="1" customWidth="1"/>
  </cols>
  <sheetData>
    <row r="1" spans="1:18" ht="12" customHeight="1" x14ac:dyDescent="0.2">
      <c r="A1" s="118" t="s">
        <v>12</v>
      </c>
      <c r="B1" s="119"/>
      <c r="C1" s="119"/>
      <c r="D1" s="119"/>
      <c r="E1" s="119"/>
      <c r="F1" s="119"/>
      <c r="G1" s="119"/>
      <c r="H1" s="119"/>
      <c r="J1" s="113" t="s">
        <v>13</v>
      </c>
      <c r="K1" s="113"/>
      <c r="L1" s="113"/>
      <c r="M1" s="113"/>
      <c r="N1" s="113"/>
      <c r="O1" s="113"/>
      <c r="P1" s="113"/>
    </row>
    <row r="2" spans="1:18" ht="12" customHeight="1" x14ac:dyDescent="0.2">
      <c r="A2" s="118"/>
      <c r="B2" s="119"/>
      <c r="C2" s="119"/>
      <c r="D2" s="119"/>
      <c r="E2" s="119"/>
      <c r="F2" s="119"/>
      <c r="G2" s="119"/>
      <c r="H2" s="119"/>
      <c r="J2" s="74" t="s">
        <v>508</v>
      </c>
      <c r="K2" s="88">
        <v>32.79</v>
      </c>
      <c r="L2" s="74"/>
      <c r="M2" s="74"/>
      <c r="N2" s="74"/>
      <c r="O2" s="74"/>
      <c r="P2" s="74"/>
    </row>
    <row r="3" spans="1:18" ht="12" customHeight="1" x14ac:dyDescent="0.2">
      <c r="A3" s="118"/>
      <c r="B3" s="119"/>
      <c r="C3" s="119"/>
      <c r="D3" s="119"/>
      <c r="E3" s="119"/>
      <c r="F3" s="119"/>
      <c r="G3" s="119"/>
      <c r="H3" s="119"/>
      <c r="J3" t="s">
        <v>509</v>
      </c>
      <c r="K3" s="21">
        <f>SUM(M9:M144)</f>
        <v>32.79</v>
      </c>
      <c r="L3" s="74"/>
      <c r="M3" s="74"/>
      <c r="N3" s="74"/>
      <c r="O3" s="74"/>
      <c r="P3" s="74"/>
    </row>
    <row r="4" spans="1:18" ht="12" customHeight="1" x14ac:dyDescent="0.2">
      <c r="A4" s="114" t="s">
        <v>282</v>
      </c>
      <c r="B4" s="113"/>
      <c r="C4" s="113"/>
      <c r="D4" s="113"/>
      <c r="E4" s="113"/>
      <c r="F4" s="113"/>
      <c r="G4" s="113"/>
      <c r="H4" s="113"/>
      <c r="J4" t="s">
        <v>510</v>
      </c>
      <c r="K4" s="21">
        <f>K2-K3</f>
        <v>0</v>
      </c>
    </row>
    <row r="5" spans="1:18" ht="12" customHeight="1" x14ac:dyDescent="0.2">
      <c r="A5" s="9" t="s">
        <v>3</v>
      </c>
      <c r="B5" s="10" t="str">
        <f>CONCATENATE(Header!$E$4,"Pendergast")</f>
        <v>MC-250816Pendergast</v>
      </c>
      <c r="C5" s="8"/>
      <c r="D5" s="8"/>
      <c r="E5" s="8"/>
      <c r="J5" s="115" t="s">
        <v>15</v>
      </c>
      <c r="K5" s="115"/>
      <c r="L5" s="115"/>
      <c r="M5" s="115"/>
      <c r="N5" s="115"/>
      <c r="O5" s="115"/>
      <c r="P5" s="115"/>
      <c r="Q5" s="115"/>
    </row>
    <row r="6" spans="1:18" ht="12" customHeight="1" x14ac:dyDescent="0.2">
      <c r="A6" s="9" t="s">
        <v>5</v>
      </c>
      <c r="B6" s="12">
        <f>Header!$E$5</f>
        <v>45885</v>
      </c>
      <c r="C6" s="8"/>
      <c r="D6" s="8"/>
      <c r="E6" s="116" t="s">
        <v>16</v>
      </c>
      <c r="F6" s="116"/>
      <c r="G6" s="116"/>
      <c r="H6" s="116"/>
    </row>
    <row r="7" spans="1:18" ht="12" customHeight="1" thickBot="1" x14ac:dyDescent="0.25">
      <c r="A7" s="11"/>
      <c r="B7" s="8"/>
      <c r="C7" s="8"/>
      <c r="D7" s="8"/>
      <c r="E7" s="117"/>
      <c r="F7" s="117"/>
      <c r="G7" s="117"/>
      <c r="H7" s="117"/>
    </row>
    <row r="8" spans="1:18" ht="45.75" thickBot="1" x14ac:dyDescent="0.25">
      <c r="A8" s="32" t="s">
        <v>17</v>
      </c>
      <c r="B8" s="33" t="s">
        <v>18</v>
      </c>
      <c r="C8" s="33" t="s">
        <v>19</v>
      </c>
      <c r="D8" s="33" t="s">
        <v>20</v>
      </c>
      <c r="E8" s="19" t="s">
        <v>515</v>
      </c>
      <c r="F8" s="16" t="s">
        <v>22</v>
      </c>
      <c r="G8" s="17" t="s">
        <v>23</v>
      </c>
      <c r="H8" s="18" t="s">
        <v>24</v>
      </c>
      <c r="J8" s="32" t="s">
        <v>25</v>
      </c>
      <c r="K8" s="33" t="s">
        <v>3</v>
      </c>
      <c r="L8" s="33" t="s">
        <v>26</v>
      </c>
      <c r="M8" s="33" t="s">
        <v>27</v>
      </c>
      <c r="N8" s="34" t="s">
        <v>28</v>
      </c>
      <c r="O8" s="34" t="s">
        <v>29</v>
      </c>
      <c r="P8" s="34" t="s">
        <v>30</v>
      </c>
      <c r="R8" s="90" t="s">
        <v>511</v>
      </c>
    </row>
    <row r="9" spans="1:18" ht="15.75" thickBot="1" x14ac:dyDescent="0.25">
      <c r="A9" s="45">
        <v>45867</v>
      </c>
      <c r="B9" s="45" t="s">
        <v>513</v>
      </c>
      <c r="C9" s="46">
        <v>15.88</v>
      </c>
      <c r="D9" s="46"/>
      <c r="E9" s="13" t="s">
        <v>516</v>
      </c>
      <c r="F9" s="49" t="s">
        <v>453</v>
      </c>
      <c r="G9" s="14" t="s">
        <v>454</v>
      </c>
      <c r="H9" s="15"/>
      <c r="J9" s="51" t="str">
        <f t="shared" ref="J9:J10" si="0">IF(F9&gt;0,(_xlfn.CONCAT(F9,".",G9)),H9)</f>
        <v>X195.ASPU</v>
      </c>
      <c r="K9" s="52" t="str">
        <f>_xlfn.CONCAT("M Pendergast-",(LEFT(B9,15)),"-",E9)</f>
        <v xml:space="preserve">M Pendergast-ALIEXPRESS-replac the Orange Pi with Ethernet apt-USB type A 90° adpt </v>
      </c>
      <c r="L9" s="52" t="s">
        <v>32</v>
      </c>
      <c r="M9" s="53">
        <f>IF(C9&gt;0,C9,-D9)</f>
        <v>15.88</v>
      </c>
      <c r="N9" s="54" t="s">
        <v>150</v>
      </c>
      <c r="O9" s="44"/>
      <c r="P9" s="55"/>
      <c r="Q9" t="s">
        <v>34</v>
      </c>
      <c r="R9" s="21">
        <f>LEN(K9)</f>
        <v>83</v>
      </c>
    </row>
    <row r="10" spans="1:18" ht="15.75" thickBot="1" x14ac:dyDescent="0.25">
      <c r="A10" s="47">
        <v>45856</v>
      </c>
      <c r="B10" s="47" t="s">
        <v>514</v>
      </c>
      <c r="C10" s="48">
        <v>16.91</v>
      </c>
      <c r="D10" s="48"/>
      <c r="E10" s="13" t="s">
        <v>517</v>
      </c>
      <c r="F10" s="73" t="s">
        <v>455</v>
      </c>
      <c r="G10" s="13" t="s">
        <v>454</v>
      </c>
      <c r="H10" s="50"/>
      <c r="J10" s="51" t="str">
        <f t="shared" si="0"/>
        <v>X129-04.ASPU</v>
      </c>
      <c r="K10" s="52" t="str">
        <f>_xlfn.CONCAT("M Pendergast-",(LEFT(B10,15)),"-",E10)</f>
        <v>M Pendergast-aliexpress-2xHDMIDummyPlug 4K@60Hz forPMeyer for testing</v>
      </c>
      <c r="L10" s="52" t="s">
        <v>32</v>
      </c>
      <c r="M10" s="53">
        <f t="shared" ref="M10" si="1">IF(C10&gt;0,C10,-D10)</f>
        <v>16.91</v>
      </c>
      <c r="N10" s="54" t="s">
        <v>33</v>
      </c>
      <c r="O10" s="44"/>
      <c r="P10" s="54"/>
      <c r="R10" s="21">
        <f t="shared" ref="R10:R16" si="2">LEN(K10)</f>
        <v>69</v>
      </c>
    </row>
    <row r="11" spans="1:18" ht="15.75" thickBot="1" x14ac:dyDescent="0.25">
      <c r="A11" s="47"/>
      <c r="B11" s="47"/>
      <c r="C11" s="48"/>
      <c r="D11" s="48"/>
      <c r="E11" s="13"/>
      <c r="F11" s="50"/>
      <c r="G11" s="50"/>
      <c r="H11" s="13"/>
      <c r="J11" s="51"/>
      <c r="K11" s="52"/>
      <c r="L11" s="52"/>
      <c r="M11" s="53"/>
      <c r="N11" s="54"/>
      <c r="O11" s="44"/>
      <c r="P11" s="54"/>
      <c r="R11" s="21">
        <f t="shared" si="2"/>
        <v>0</v>
      </c>
    </row>
    <row r="12" spans="1:18" ht="15.75" thickBot="1" x14ac:dyDescent="0.25">
      <c r="A12" s="47"/>
      <c r="B12" s="47"/>
      <c r="C12" s="48"/>
      <c r="D12" s="48"/>
      <c r="E12" s="13"/>
      <c r="F12" s="13"/>
      <c r="G12" s="13"/>
      <c r="H12" s="50"/>
      <c r="J12" s="51"/>
      <c r="K12" s="52"/>
      <c r="L12" s="52"/>
      <c r="M12" s="53"/>
      <c r="N12" s="54"/>
      <c r="O12" s="44"/>
      <c r="P12" s="54"/>
      <c r="R12" s="21">
        <f t="shared" si="2"/>
        <v>0</v>
      </c>
    </row>
    <row r="13" spans="1:18" ht="15.75" thickBot="1" x14ac:dyDescent="0.25">
      <c r="A13" s="47"/>
      <c r="B13" s="47"/>
      <c r="C13" s="48"/>
      <c r="D13" s="48"/>
      <c r="E13" s="13"/>
      <c r="F13" s="13"/>
      <c r="G13" s="13"/>
      <c r="H13" s="13"/>
      <c r="J13" s="51"/>
      <c r="K13" s="52"/>
      <c r="L13" s="52"/>
      <c r="M13" s="53"/>
      <c r="N13" s="54"/>
      <c r="O13" s="44"/>
      <c r="P13" s="54"/>
      <c r="R13" s="21">
        <f t="shared" si="2"/>
        <v>0</v>
      </c>
    </row>
    <row r="14" spans="1:18" ht="15.75" thickBot="1" x14ac:dyDescent="0.25">
      <c r="A14" s="47"/>
      <c r="B14" s="47"/>
      <c r="C14" s="48"/>
      <c r="D14" s="48"/>
      <c r="E14" s="13"/>
      <c r="F14" s="13"/>
      <c r="G14" s="13"/>
      <c r="H14" s="13"/>
      <c r="J14" s="51"/>
      <c r="K14" s="52"/>
      <c r="L14" s="52"/>
      <c r="M14" s="53"/>
      <c r="N14" s="54"/>
      <c r="O14" s="44"/>
      <c r="P14" s="54"/>
      <c r="R14" s="21">
        <f t="shared" si="2"/>
        <v>0</v>
      </c>
    </row>
    <row r="15" spans="1:18" ht="15.75" thickBot="1" x14ac:dyDescent="0.25">
      <c r="A15" s="47"/>
      <c r="B15" s="47"/>
      <c r="C15" s="48"/>
      <c r="D15" s="48"/>
      <c r="E15" s="13"/>
      <c r="F15" s="13"/>
      <c r="G15" s="13"/>
      <c r="H15" s="13"/>
      <c r="J15" s="51"/>
      <c r="K15" s="52"/>
      <c r="L15" s="52"/>
      <c r="M15" s="53"/>
      <c r="N15" s="54"/>
      <c r="O15" s="44"/>
      <c r="P15" s="54"/>
      <c r="R15" s="21">
        <f t="shared" si="2"/>
        <v>0</v>
      </c>
    </row>
    <row r="16" spans="1:18" ht="15.75" thickBot="1" x14ac:dyDescent="0.25">
      <c r="A16" s="47"/>
      <c r="B16" s="47"/>
      <c r="C16" s="48"/>
      <c r="D16" s="48"/>
      <c r="E16" s="13"/>
      <c r="F16" s="13"/>
      <c r="G16" s="13"/>
      <c r="H16" s="13"/>
      <c r="J16" s="51"/>
      <c r="K16" s="52"/>
      <c r="L16" s="52"/>
      <c r="M16" s="53"/>
      <c r="N16" s="54"/>
      <c r="O16" s="44"/>
      <c r="P16" s="54"/>
      <c r="R16" s="21">
        <f t="shared" si="2"/>
        <v>0</v>
      </c>
    </row>
  </sheetData>
  <mergeCells count="5">
    <mergeCell ref="J1:P1"/>
    <mergeCell ref="A4:H4"/>
    <mergeCell ref="J5:Q5"/>
    <mergeCell ref="E6:H7"/>
    <mergeCell ref="A1:H3"/>
  </mergeCells>
  <conditionalFormatting sqref="B16:B48">
    <cfRule type="cellIs" dxfId="7" priority="1" operator="lessThan">
      <formula>0</formula>
    </cfRule>
  </conditionalFormatting>
  <dataValidations count="1">
    <dataValidation type="list" allowBlank="1" showInputMessage="1" showErrorMessage="1" sqref="C16:C48" xr:uid="{A93A386D-D876-4473-959D-380CDEF67C69}">
      <formula1>"GST 10%, GST FREE"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71C8B-5DC1-453A-989B-A670D8415934}">
  <sheetPr>
    <tabColor theme="5" tint="0.79998168889431442"/>
  </sheetPr>
  <dimension ref="A1:R30"/>
  <sheetViews>
    <sheetView topLeftCell="C1" workbookViewId="0">
      <selection activeCell="R24" sqref="R24"/>
    </sheetView>
  </sheetViews>
  <sheetFormatPr defaultRowHeight="12.75" x14ac:dyDescent="0.2"/>
  <cols>
    <col min="1" max="1" width="17.42578125" style="3" customWidth="1"/>
    <col min="2" max="2" width="47.42578125" customWidth="1"/>
    <col min="3" max="3" width="13.5703125" customWidth="1"/>
    <col min="4" max="4" width="16.42578125" customWidth="1"/>
    <col min="5" max="5" width="11.85546875" customWidth="1"/>
    <col min="6" max="6" width="14.140625" bestFit="1" customWidth="1"/>
    <col min="7" max="7" width="13.42578125" bestFit="1" customWidth="1"/>
    <col min="8" max="8" width="15.5703125" customWidth="1"/>
    <col min="9" max="9" width="2.42578125" customWidth="1"/>
    <col min="10" max="10" width="21.85546875" bestFit="1" customWidth="1"/>
    <col min="11" max="11" width="41.140625" bestFit="1" customWidth="1"/>
    <col min="12" max="12" width="4" bestFit="1" customWidth="1"/>
    <col min="15" max="15" width="21.42578125" customWidth="1"/>
    <col min="16" max="16" width="15.85546875" customWidth="1"/>
  </cols>
  <sheetData>
    <row r="1" spans="1:18" ht="12" customHeight="1" x14ac:dyDescent="0.2">
      <c r="A1" s="118" t="s">
        <v>12</v>
      </c>
      <c r="B1" s="119"/>
      <c r="C1" s="119"/>
      <c r="D1" s="119"/>
      <c r="E1" s="119"/>
      <c r="F1" s="119"/>
      <c r="G1" s="119"/>
      <c r="H1" s="119"/>
      <c r="J1" s="113" t="s">
        <v>13</v>
      </c>
      <c r="K1" s="113"/>
      <c r="L1" s="113"/>
      <c r="M1" s="113"/>
      <c r="N1" s="113"/>
      <c r="O1" s="113"/>
      <c r="P1" s="113"/>
    </row>
    <row r="2" spans="1:18" ht="12" customHeight="1" x14ac:dyDescent="0.2">
      <c r="A2" s="118"/>
      <c r="B2" s="119"/>
      <c r="C2" s="119"/>
      <c r="D2" s="119"/>
      <c r="E2" s="119"/>
      <c r="F2" s="119"/>
      <c r="G2" s="119"/>
      <c r="H2" s="119"/>
      <c r="J2" s="74" t="s">
        <v>508</v>
      </c>
      <c r="K2" s="88">
        <v>618.29999999999995</v>
      </c>
      <c r="L2" s="74"/>
      <c r="M2" s="74"/>
      <c r="N2" s="74"/>
      <c r="O2" s="74"/>
      <c r="P2" s="74"/>
    </row>
    <row r="3" spans="1:18" ht="12" customHeight="1" x14ac:dyDescent="0.2">
      <c r="A3" s="118"/>
      <c r="B3" s="119"/>
      <c r="C3" s="119"/>
      <c r="D3" s="119"/>
      <c r="E3" s="119"/>
      <c r="F3" s="119"/>
      <c r="G3" s="119"/>
      <c r="H3" s="119"/>
      <c r="J3" t="s">
        <v>509</v>
      </c>
      <c r="K3" s="21">
        <f>SUM(M9:M144)</f>
        <v>618.29999999999995</v>
      </c>
      <c r="L3" s="74"/>
      <c r="M3" s="74"/>
      <c r="N3" s="74"/>
      <c r="O3" s="74"/>
      <c r="P3" s="74"/>
    </row>
    <row r="4" spans="1:18" ht="12" customHeight="1" x14ac:dyDescent="0.2">
      <c r="A4" s="114" t="s">
        <v>285</v>
      </c>
      <c r="B4" s="113"/>
      <c r="C4" s="113"/>
      <c r="D4" s="113"/>
      <c r="E4" s="113"/>
      <c r="F4" s="113"/>
      <c r="G4" s="113"/>
      <c r="H4" s="113"/>
      <c r="J4" t="s">
        <v>510</v>
      </c>
      <c r="K4" s="21">
        <f>K2-K3</f>
        <v>0</v>
      </c>
    </row>
    <row r="5" spans="1:18" ht="12" customHeight="1" x14ac:dyDescent="0.2">
      <c r="A5" s="9" t="s">
        <v>3</v>
      </c>
      <c r="B5" s="10" t="str">
        <f>CONCATENATE(Header!$E$4,"Torney")</f>
        <v>MC-250816Torney</v>
      </c>
      <c r="C5" s="8"/>
      <c r="D5" s="8"/>
      <c r="E5" s="8"/>
      <c r="J5" s="115" t="s">
        <v>15</v>
      </c>
      <c r="K5" s="115"/>
      <c r="L5" s="115"/>
      <c r="M5" s="115"/>
      <c r="N5" s="115"/>
      <c r="O5" s="115"/>
      <c r="P5" s="115"/>
      <c r="Q5" s="115"/>
    </row>
    <row r="6" spans="1:18" ht="12" customHeight="1" x14ac:dyDescent="0.2">
      <c r="A6" s="9" t="s">
        <v>5</v>
      </c>
      <c r="B6" s="12">
        <f>Header!$E$5</f>
        <v>45885</v>
      </c>
      <c r="C6" s="8"/>
      <c r="D6" s="8"/>
      <c r="E6" s="116" t="s">
        <v>16</v>
      </c>
      <c r="F6" s="116"/>
      <c r="G6" s="116"/>
      <c r="H6" s="116"/>
    </row>
    <row r="7" spans="1:18" ht="12" customHeight="1" thickBot="1" x14ac:dyDescent="0.25">
      <c r="A7" s="11"/>
      <c r="B7" s="8"/>
      <c r="C7" s="8"/>
      <c r="D7" s="8"/>
      <c r="E7" s="117"/>
      <c r="F7" s="117"/>
      <c r="G7" s="117"/>
      <c r="H7" s="117"/>
    </row>
    <row r="8" spans="1:18" ht="45.75" thickBot="1" x14ac:dyDescent="0.25">
      <c r="A8" s="32" t="s">
        <v>17</v>
      </c>
      <c r="B8" s="33" t="s">
        <v>18</v>
      </c>
      <c r="C8" s="33" t="s">
        <v>19</v>
      </c>
      <c r="D8" s="33" t="s">
        <v>20</v>
      </c>
      <c r="E8" s="19" t="s">
        <v>36</v>
      </c>
      <c r="F8" s="16" t="s">
        <v>22</v>
      </c>
      <c r="G8" s="17" t="s">
        <v>23</v>
      </c>
      <c r="H8" s="18" t="s">
        <v>24</v>
      </c>
      <c r="J8" s="32" t="s">
        <v>25</v>
      </c>
      <c r="K8" s="33" t="s">
        <v>3</v>
      </c>
      <c r="L8" s="33" t="s">
        <v>26</v>
      </c>
      <c r="M8" s="33" t="s">
        <v>27</v>
      </c>
      <c r="N8" s="34" t="s">
        <v>28</v>
      </c>
      <c r="O8" s="34" t="s">
        <v>29</v>
      </c>
      <c r="P8" s="34" t="s">
        <v>30</v>
      </c>
      <c r="R8" s="90" t="s">
        <v>511</v>
      </c>
    </row>
    <row r="9" spans="1:18" ht="15.75" thickBot="1" x14ac:dyDescent="0.25">
      <c r="A9" s="45">
        <v>45880</v>
      </c>
      <c r="B9" s="45" t="s">
        <v>566</v>
      </c>
      <c r="C9" s="46">
        <v>135</v>
      </c>
      <c r="D9" s="46"/>
      <c r="E9" s="81" t="s">
        <v>567</v>
      </c>
      <c r="F9" s="81">
        <v>1073</v>
      </c>
      <c r="G9" s="81" t="s">
        <v>565</v>
      </c>
      <c r="H9" s="81"/>
      <c r="J9" s="51" t="str">
        <f t="shared" ref="J9:J10" si="0">IF(F9&gt;0,(_xlfn.CONCAT(F9,".",G9)),H9)</f>
        <v>1073.TRAI</v>
      </c>
      <c r="K9" s="52" t="str">
        <f>_xlfn.CONCAT("C Torney-",(LEFT(B9,15)),"-",E9)</f>
        <v>C Torney-SPRINGFIELDS -Accommodation for Weld Aust</v>
      </c>
      <c r="L9" s="52" t="s">
        <v>32</v>
      </c>
      <c r="M9" s="53">
        <f>IF(C9&gt;0,C9,-D9)</f>
        <v>135</v>
      </c>
      <c r="N9" s="54" t="s">
        <v>33</v>
      </c>
      <c r="O9" s="44"/>
      <c r="P9" s="55"/>
      <c r="Q9" t="s">
        <v>34</v>
      </c>
      <c r="R9" s="21">
        <f>LEN(K9)</f>
        <v>50</v>
      </c>
    </row>
    <row r="10" spans="1:18" ht="15.75" thickBot="1" x14ac:dyDescent="0.25">
      <c r="A10" s="47">
        <v>45876</v>
      </c>
      <c r="B10" s="47" t="s">
        <v>79</v>
      </c>
      <c r="C10" s="48">
        <v>483.3</v>
      </c>
      <c r="D10" s="48"/>
      <c r="E10" s="56" t="s">
        <v>456</v>
      </c>
      <c r="F10" s="56">
        <v>1073</v>
      </c>
      <c r="G10" s="56" t="s">
        <v>234</v>
      </c>
      <c r="H10" s="56"/>
      <c r="J10" s="51" t="str">
        <f t="shared" si="0"/>
        <v>1073.TOOL</v>
      </c>
      <c r="K10" s="52" t="str">
        <f>_xlfn.CONCAT("C Torney-",(LEFT(B10,15)),"-",E10)</f>
        <v>C Torney-TOTAL TOOLS BAL-tools for worshop</v>
      </c>
      <c r="L10" s="52" t="s">
        <v>32</v>
      </c>
      <c r="M10" s="53">
        <f t="shared" ref="M10" si="1">IF(C10&gt;0,C10,-D10)</f>
        <v>483.3</v>
      </c>
      <c r="N10" s="54" t="s">
        <v>33</v>
      </c>
      <c r="O10" s="44"/>
      <c r="P10" s="54"/>
      <c r="R10" s="21">
        <f t="shared" ref="R10:R30" si="2">LEN(K10)</f>
        <v>42</v>
      </c>
    </row>
    <row r="11" spans="1:18" ht="15.75" thickBot="1" x14ac:dyDescent="0.25">
      <c r="A11" s="47"/>
      <c r="B11" s="47"/>
      <c r="C11" s="48"/>
      <c r="D11" s="48"/>
      <c r="E11" s="56"/>
      <c r="F11" s="56"/>
      <c r="G11" s="56"/>
      <c r="H11" s="56"/>
      <c r="J11" s="51"/>
      <c r="K11" s="52"/>
      <c r="L11" s="52"/>
      <c r="M11" s="53"/>
      <c r="N11" s="54"/>
      <c r="O11" s="44"/>
      <c r="P11" s="54"/>
      <c r="R11" s="21">
        <f t="shared" si="2"/>
        <v>0</v>
      </c>
    </row>
    <row r="12" spans="1:18" ht="15.75" thickBot="1" x14ac:dyDescent="0.25">
      <c r="A12" s="47"/>
      <c r="B12" s="47"/>
      <c r="C12" s="48"/>
      <c r="D12" s="48"/>
      <c r="E12" s="56"/>
      <c r="F12" s="56"/>
      <c r="G12" s="56"/>
      <c r="H12" s="56"/>
      <c r="J12" s="51"/>
      <c r="K12" s="52"/>
      <c r="L12" s="52"/>
      <c r="M12" s="53"/>
      <c r="N12" s="54"/>
      <c r="O12" s="44"/>
      <c r="P12" s="54"/>
      <c r="R12" s="21">
        <f t="shared" si="2"/>
        <v>0</v>
      </c>
    </row>
    <row r="13" spans="1:18" ht="15.75" thickBot="1" x14ac:dyDescent="0.25">
      <c r="A13" s="47"/>
      <c r="B13" s="47"/>
      <c r="C13" s="48"/>
      <c r="D13" s="48"/>
      <c r="E13" s="56"/>
      <c r="F13" s="56"/>
      <c r="G13" s="56"/>
      <c r="H13" s="56"/>
      <c r="J13" s="51"/>
      <c r="K13" s="52"/>
      <c r="L13" s="52"/>
      <c r="M13" s="53"/>
      <c r="N13" s="54"/>
      <c r="O13" s="44"/>
      <c r="P13" s="54"/>
      <c r="R13" s="21">
        <f t="shared" si="2"/>
        <v>0</v>
      </c>
    </row>
    <row r="14" spans="1:18" ht="15.75" thickBot="1" x14ac:dyDescent="0.25">
      <c r="A14" s="47"/>
      <c r="B14" s="47"/>
      <c r="C14" s="48"/>
      <c r="D14" s="48"/>
      <c r="E14" s="56"/>
      <c r="F14" s="56"/>
      <c r="G14" s="56"/>
      <c r="H14" s="56"/>
      <c r="J14" s="51"/>
      <c r="K14" s="52"/>
      <c r="L14" s="52"/>
      <c r="M14" s="53"/>
      <c r="N14" s="54"/>
      <c r="O14" s="44"/>
      <c r="P14" s="54"/>
      <c r="R14" s="21">
        <f t="shared" si="2"/>
        <v>0</v>
      </c>
    </row>
    <row r="15" spans="1:18" ht="15.75" thickBot="1" x14ac:dyDescent="0.25">
      <c r="A15" s="47"/>
      <c r="B15" s="47"/>
      <c r="C15" s="48"/>
      <c r="D15" s="48"/>
      <c r="E15" s="56"/>
      <c r="F15" s="56"/>
      <c r="G15" s="56"/>
      <c r="H15" s="56"/>
      <c r="J15" s="51"/>
      <c r="K15" s="52"/>
      <c r="L15" s="52"/>
      <c r="M15" s="53"/>
      <c r="N15" s="54"/>
      <c r="O15" s="44"/>
      <c r="P15" s="54"/>
      <c r="R15" s="21">
        <f t="shared" si="2"/>
        <v>0</v>
      </c>
    </row>
    <row r="16" spans="1:18" ht="15.75" thickBot="1" x14ac:dyDescent="0.25">
      <c r="A16" s="47"/>
      <c r="B16" s="47"/>
      <c r="C16" s="48"/>
      <c r="D16" s="48"/>
      <c r="E16" s="56"/>
      <c r="F16" s="56"/>
      <c r="G16" s="56"/>
      <c r="H16" s="56"/>
      <c r="J16" s="51"/>
      <c r="K16" s="52"/>
      <c r="L16" s="52"/>
      <c r="M16" s="53"/>
      <c r="N16" s="54"/>
      <c r="O16" s="44"/>
      <c r="P16" s="54"/>
      <c r="R16" s="21">
        <f t="shared" si="2"/>
        <v>0</v>
      </c>
    </row>
    <row r="17" spans="18:18" x14ac:dyDescent="0.2">
      <c r="R17" s="21">
        <f t="shared" si="2"/>
        <v>0</v>
      </c>
    </row>
    <row r="18" spans="18:18" x14ac:dyDescent="0.2">
      <c r="R18" s="21">
        <f t="shared" si="2"/>
        <v>0</v>
      </c>
    </row>
    <row r="19" spans="18:18" x14ac:dyDescent="0.2">
      <c r="R19" s="21">
        <f t="shared" si="2"/>
        <v>0</v>
      </c>
    </row>
    <row r="20" spans="18:18" x14ac:dyDescent="0.2">
      <c r="R20" s="21">
        <f t="shared" si="2"/>
        <v>0</v>
      </c>
    </row>
    <row r="21" spans="18:18" x14ac:dyDescent="0.2">
      <c r="R21" s="21">
        <f t="shared" si="2"/>
        <v>0</v>
      </c>
    </row>
    <row r="22" spans="18:18" x14ac:dyDescent="0.2">
      <c r="R22" s="21">
        <f t="shared" si="2"/>
        <v>0</v>
      </c>
    </row>
    <row r="23" spans="18:18" x14ac:dyDescent="0.2">
      <c r="R23" s="21">
        <f t="shared" si="2"/>
        <v>0</v>
      </c>
    </row>
    <row r="24" spans="18:18" x14ac:dyDescent="0.2">
      <c r="R24" s="21">
        <f t="shared" si="2"/>
        <v>0</v>
      </c>
    </row>
    <row r="25" spans="18:18" x14ac:dyDescent="0.2">
      <c r="R25" s="21">
        <f t="shared" si="2"/>
        <v>0</v>
      </c>
    </row>
    <row r="26" spans="18:18" x14ac:dyDescent="0.2">
      <c r="R26" s="21">
        <f t="shared" si="2"/>
        <v>0</v>
      </c>
    </row>
    <row r="27" spans="18:18" x14ac:dyDescent="0.2">
      <c r="R27" s="21">
        <f t="shared" si="2"/>
        <v>0</v>
      </c>
    </row>
    <row r="28" spans="18:18" x14ac:dyDescent="0.2">
      <c r="R28" s="21">
        <f t="shared" si="2"/>
        <v>0</v>
      </c>
    </row>
    <row r="29" spans="18:18" x14ac:dyDescent="0.2">
      <c r="R29" s="21">
        <f t="shared" si="2"/>
        <v>0</v>
      </c>
    </row>
    <row r="30" spans="18:18" x14ac:dyDescent="0.2">
      <c r="R30" s="21">
        <f t="shared" si="2"/>
        <v>0</v>
      </c>
    </row>
  </sheetData>
  <mergeCells count="5">
    <mergeCell ref="J1:P1"/>
    <mergeCell ref="A4:H4"/>
    <mergeCell ref="J5:Q5"/>
    <mergeCell ref="E6:H7"/>
    <mergeCell ref="A1:H3"/>
  </mergeCells>
  <conditionalFormatting sqref="B16:B48">
    <cfRule type="cellIs" dxfId="6" priority="1" operator="lessThan">
      <formula>0</formula>
    </cfRule>
  </conditionalFormatting>
  <dataValidations count="1">
    <dataValidation type="list" allowBlank="1" showInputMessage="1" showErrorMessage="1" sqref="C16:C48" xr:uid="{C589A96C-0CBA-4E34-ABE3-573F5836C7C9}">
      <formula1>"GST 10%, GST FREE"</formula1>
    </dataValidation>
  </dataValidation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9" tint="0.79998168889431442"/>
  </sheetPr>
  <dimension ref="A1:R30"/>
  <sheetViews>
    <sheetView topLeftCell="C1" workbookViewId="0">
      <selection activeCell="J28" sqref="J28:P28"/>
    </sheetView>
  </sheetViews>
  <sheetFormatPr defaultRowHeight="12.75" x14ac:dyDescent="0.2"/>
  <cols>
    <col min="1" max="1" width="17.42578125" style="3" customWidth="1"/>
    <col min="2" max="2" width="47.42578125" customWidth="1"/>
    <col min="3" max="3" width="13.5703125" customWidth="1"/>
    <col min="4" max="4" width="16.42578125" customWidth="1"/>
    <col min="5" max="5" width="11.85546875" customWidth="1"/>
    <col min="6" max="6" width="14.140625" bestFit="1" customWidth="1"/>
    <col min="7" max="7" width="13.42578125" bestFit="1" customWidth="1"/>
    <col min="8" max="8" width="15.5703125" customWidth="1"/>
    <col min="9" max="9" width="2.42578125" customWidth="1"/>
    <col min="10" max="10" width="21.85546875" bestFit="1" customWidth="1"/>
    <col min="11" max="11" width="63.140625" bestFit="1" customWidth="1"/>
    <col min="12" max="12" width="4" bestFit="1" customWidth="1"/>
    <col min="15" max="15" width="21.42578125" customWidth="1"/>
    <col min="16" max="16" width="15.85546875" customWidth="1"/>
  </cols>
  <sheetData>
    <row r="1" spans="1:18" ht="12" customHeight="1" x14ac:dyDescent="0.2">
      <c r="A1" s="118" t="s">
        <v>12</v>
      </c>
      <c r="B1" s="119"/>
      <c r="C1" s="119"/>
      <c r="D1" s="119"/>
      <c r="E1" s="119"/>
      <c r="F1" s="119"/>
      <c r="G1" s="119"/>
      <c r="H1" s="119"/>
      <c r="J1" s="113" t="s">
        <v>13</v>
      </c>
      <c r="K1" s="113"/>
      <c r="L1" s="113"/>
      <c r="M1" s="113"/>
      <c r="N1" s="113"/>
      <c r="O1" s="113"/>
      <c r="P1" s="113"/>
    </row>
    <row r="2" spans="1:18" ht="12" customHeight="1" x14ac:dyDescent="0.2">
      <c r="A2" s="118"/>
      <c r="B2" s="119"/>
      <c r="C2" s="119"/>
      <c r="D2" s="119"/>
      <c r="E2" s="119"/>
      <c r="F2" s="119"/>
      <c r="G2" s="119"/>
      <c r="H2" s="119"/>
      <c r="J2" s="74" t="s">
        <v>508</v>
      </c>
      <c r="K2" s="88">
        <v>3356.85</v>
      </c>
      <c r="L2" s="74"/>
      <c r="M2" s="74"/>
      <c r="N2" s="74"/>
      <c r="O2" s="74"/>
      <c r="P2" s="74"/>
    </row>
    <row r="3" spans="1:18" ht="12" customHeight="1" x14ac:dyDescent="0.2">
      <c r="A3" s="118"/>
      <c r="B3" s="119"/>
      <c r="C3" s="119"/>
      <c r="D3" s="119"/>
      <c r="E3" s="119"/>
      <c r="F3" s="119"/>
      <c r="G3" s="119"/>
      <c r="H3" s="119"/>
      <c r="J3" t="s">
        <v>509</v>
      </c>
      <c r="K3" s="21">
        <f>SUM(M9:M144)</f>
        <v>3356.85</v>
      </c>
      <c r="L3" s="74"/>
      <c r="M3" s="74"/>
      <c r="N3" s="74"/>
      <c r="O3" s="74"/>
      <c r="P3" s="74"/>
    </row>
    <row r="4" spans="1:18" ht="12" customHeight="1" x14ac:dyDescent="0.2">
      <c r="A4" s="114" t="s">
        <v>287</v>
      </c>
      <c r="B4" s="113"/>
      <c r="C4" s="113"/>
      <c r="D4" s="113"/>
      <c r="E4" s="113"/>
      <c r="F4" s="113"/>
      <c r="G4" s="113"/>
      <c r="H4" s="113"/>
      <c r="J4" t="s">
        <v>510</v>
      </c>
      <c r="K4" s="21">
        <f>K2-K3</f>
        <v>0</v>
      </c>
    </row>
    <row r="5" spans="1:18" ht="12" customHeight="1" x14ac:dyDescent="0.2">
      <c r="A5" s="9" t="s">
        <v>3</v>
      </c>
      <c r="B5" s="10" t="str">
        <f>CONCATENATE(Header!$E$4,"Tuncks")</f>
        <v>MC-250816Tuncks</v>
      </c>
      <c r="C5" s="8"/>
      <c r="D5" s="8"/>
      <c r="E5" s="8"/>
      <c r="J5" s="115" t="s">
        <v>15</v>
      </c>
      <c r="K5" s="115"/>
      <c r="L5" s="115"/>
      <c r="M5" s="115"/>
      <c r="N5" s="115"/>
      <c r="O5" s="115"/>
      <c r="P5" s="115"/>
      <c r="Q5" s="115"/>
    </row>
    <row r="6" spans="1:18" ht="12" customHeight="1" x14ac:dyDescent="0.2">
      <c r="A6" s="9" t="s">
        <v>5</v>
      </c>
      <c r="B6" s="12">
        <f>Header!$E$5</f>
        <v>45885</v>
      </c>
      <c r="C6" s="8"/>
      <c r="D6" s="8"/>
      <c r="E6" s="116" t="s">
        <v>16</v>
      </c>
      <c r="F6" s="116"/>
      <c r="G6" s="116"/>
      <c r="H6" s="116"/>
    </row>
    <row r="7" spans="1:18" ht="12" customHeight="1" thickBot="1" x14ac:dyDescent="0.25">
      <c r="A7" s="11"/>
      <c r="B7" s="8"/>
      <c r="C7" s="8"/>
      <c r="D7" s="8"/>
      <c r="E7" s="117"/>
      <c r="F7" s="117"/>
      <c r="G7" s="117"/>
      <c r="H7" s="117"/>
    </row>
    <row r="8" spans="1:18" ht="45.75" thickBot="1" x14ac:dyDescent="0.25">
      <c r="A8" s="32" t="s">
        <v>17</v>
      </c>
      <c r="B8" s="33" t="s">
        <v>18</v>
      </c>
      <c r="C8" s="33" t="s">
        <v>19</v>
      </c>
      <c r="D8" s="33" t="s">
        <v>20</v>
      </c>
      <c r="E8" s="19" t="s">
        <v>36</v>
      </c>
      <c r="F8" s="16" t="s">
        <v>22</v>
      </c>
      <c r="G8" s="17" t="s">
        <v>23</v>
      </c>
      <c r="H8" s="18" t="s">
        <v>24</v>
      </c>
      <c r="J8" s="32" t="s">
        <v>25</v>
      </c>
      <c r="K8" s="33" t="s">
        <v>3</v>
      </c>
      <c r="L8" s="33" t="s">
        <v>26</v>
      </c>
      <c r="M8" s="33" t="s">
        <v>27</v>
      </c>
      <c r="N8" s="34" t="s">
        <v>28</v>
      </c>
      <c r="O8" s="34" t="s">
        <v>29</v>
      </c>
      <c r="P8" s="34" t="s">
        <v>30</v>
      </c>
      <c r="R8" s="90" t="s">
        <v>511</v>
      </c>
    </row>
    <row r="9" spans="1:18" ht="15" x14ac:dyDescent="0.2">
      <c r="A9" s="45">
        <v>45881</v>
      </c>
      <c r="B9" s="45" t="s">
        <v>288</v>
      </c>
      <c r="C9" s="46">
        <v>82.49</v>
      </c>
      <c r="D9" s="46"/>
      <c r="E9" s="57" t="s">
        <v>289</v>
      </c>
      <c r="F9" s="49">
        <v>1084</v>
      </c>
      <c r="G9" s="14" t="s">
        <v>290</v>
      </c>
      <c r="H9" s="15"/>
      <c r="J9" s="51" t="str">
        <f t="shared" ref="J9:J16" si="0">IF(F9&gt;0,(_xlfn.CONCAT(F9,".",G9)),H9)</f>
        <v>1084.ITSW</v>
      </c>
      <c r="K9" s="52" t="str">
        <f>_xlfn.CONCAT("B Tuncks-",(LEFT(B9,15)),"-",E9)</f>
        <v>B Tuncks-PAYPAL *CLOUDFL-Website Domain and security</v>
      </c>
      <c r="L9" s="52" t="s">
        <v>32</v>
      </c>
      <c r="M9" s="53">
        <f>IF(C9&gt;0,C9,-D9)</f>
        <v>82.49</v>
      </c>
      <c r="N9" s="54" t="s">
        <v>150</v>
      </c>
      <c r="O9" s="44"/>
      <c r="P9" s="55"/>
      <c r="Q9" t="s">
        <v>34</v>
      </c>
      <c r="R9" s="21">
        <f>LEN(K9)</f>
        <v>52</v>
      </c>
    </row>
    <row r="10" spans="1:18" ht="15" x14ac:dyDescent="0.2">
      <c r="A10" s="47">
        <v>45881</v>
      </c>
      <c r="B10" s="47" t="s">
        <v>291</v>
      </c>
      <c r="C10" s="48">
        <v>419.16</v>
      </c>
      <c r="D10" s="48"/>
      <c r="E10" s="60" t="s">
        <v>292</v>
      </c>
      <c r="F10" s="49">
        <v>1084</v>
      </c>
      <c r="G10" s="14" t="s">
        <v>290</v>
      </c>
      <c r="H10" s="50"/>
      <c r="J10" s="51" t="str">
        <f t="shared" si="0"/>
        <v>1084.ITSW</v>
      </c>
      <c r="K10" s="52" t="str">
        <f t="shared" ref="K10:K28" si="1">_xlfn.CONCAT("B Tuncks-",(LEFT(B10,15)),"-",E10)</f>
        <v>B Tuncks-INTRUDER.IO PRO-Cyber Security scanner</v>
      </c>
      <c r="L10" s="52" t="s">
        <v>32</v>
      </c>
      <c r="M10" s="53">
        <f t="shared" ref="M10:M16" si="2">IF(C10&gt;0,C10,-D10)</f>
        <v>419.16</v>
      </c>
      <c r="N10" s="54" t="s">
        <v>150</v>
      </c>
      <c r="O10" s="44"/>
      <c r="P10" s="54"/>
      <c r="R10" s="21">
        <f t="shared" ref="R10:R30" si="3">LEN(K10)</f>
        <v>47</v>
      </c>
    </row>
    <row r="11" spans="1:18" ht="15" x14ac:dyDescent="0.2">
      <c r="A11" s="47">
        <v>45879</v>
      </c>
      <c r="B11" s="47" t="s">
        <v>293</v>
      </c>
      <c r="C11" s="48">
        <v>164.82</v>
      </c>
      <c r="D11" s="48"/>
      <c r="E11" s="60" t="s">
        <v>294</v>
      </c>
      <c r="F11" s="50" t="s">
        <v>295</v>
      </c>
      <c r="G11" s="50" t="s">
        <v>441</v>
      </c>
      <c r="H11" s="13"/>
      <c r="J11" s="51" t="str">
        <f>IF(F11&gt;0,(_xlfn.CONCAT(F11,".",G11)),H11)</f>
        <v>CS007-D.MISC</v>
      </c>
      <c r="K11" s="52" t="str">
        <f t="shared" si="1"/>
        <v>B Tuncks-ONESIMCARD.COM -Machine Data Ops</v>
      </c>
      <c r="L11" s="52" t="s">
        <v>32</v>
      </c>
      <c r="M11" s="53">
        <f t="shared" si="2"/>
        <v>164.82</v>
      </c>
      <c r="N11" s="54" t="s">
        <v>150</v>
      </c>
      <c r="O11" s="44"/>
      <c r="P11" s="54"/>
      <c r="R11" s="21">
        <f t="shared" si="3"/>
        <v>41</v>
      </c>
    </row>
    <row r="12" spans="1:18" ht="15" x14ac:dyDescent="0.2">
      <c r="A12" s="47">
        <v>45879</v>
      </c>
      <c r="B12" s="47" t="s">
        <v>296</v>
      </c>
      <c r="C12" s="48">
        <v>158.63</v>
      </c>
      <c r="D12" s="48"/>
      <c r="E12" s="60" t="s">
        <v>297</v>
      </c>
      <c r="F12" s="49">
        <v>1084</v>
      </c>
      <c r="G12" s="14" t="s">
        <v>290</v>
      </c>
      <c r="H12" s="50"/>
      <c r="J12" s="51" t="str">
        <f t="shared" si="0"/>
        <v>1084.ITSW</v>
      </c>
      <c r="K12" s="52" t="str">
        <f t="shared" si="1"/>
        <v>B Tuncks-DATACHANT HIGHL-Projects Tool</v>
      </c>
      <c r="L12" s="52" t="s">
        <v>32</v>
      </c>
      <c r="M12" s="53">
        <f t="shared" si="2"/>
        <v>158.63</v>
      </c>
      <c r="N12" s="54" t="s">
        <v>150</v>
      </c>
      <c r="O12" s="44"/>
      <c r="P12" s="54"/>
      <c r="R12" s="21">
        <f t="shared" si="3"/>
        <v>38</v>
      </c>
    </row>
    <row r="13" spans="1:18" ht="15" x14ac:dyDescent="0.2">
      <c r="A13" s="47">
        <v>45879</v>
      </c>
      <c r="B13" s="47" t="s">
        <v>298</v>
      </c>
      <c r="C13" s="48">
        <v>246.97</v>
      </c>
      <c r="D13" s="48"/>
      <c r="E13" s="60" t="s">
        <v>299</v>
      </c>
      <c r="F13" s="49">
        <v>1084</v>
      </c>
      <c r="G13" s="14" t="s">
        <v>110</v>
      </c>
      <c r="H13" s="13"/>
      <c r="J13" s="51" t="str">
        <f t="shared" si="0"/>
        <v>1084.ITHA</v>
      </c>
      <c r="K13" s="52" t="str">
        <f t="shared" si="1"/>
        <v>B Tuncks-AMAZON AU MARKE-Laptop Docks</v>
      </c>
      <c r="L13" s="52" t="s">
        <v>32</v>
      </c>
      <c r="M13" s="53">
        <f t="shared" si="2"/>
        <v>246.97</v>
      </c>
      <c r="N13" s="54" t="s">
        <v>33</v>
      </c>
      <c r="O13" s="44"/>
      <c r="P13" s="54"/>
      <c r="R13" s="21">
        <f t="shared" si="3"/>
        <v>37</v>
      </c>
    </row>
    <row r="14" spans="1:18" ht="15" x14ac:dyDescent="0.2">
      <c r="A14" s="47">
        <v>45873</v>
      </c>
      <c r="B14" s="47" t="s">
        <v>300</v>
      </c>
      <c r="C14" s="48">
        <v>331.42</v>
      </c>
      <c r="D14" s="48"/>
      <c r="E14" s="60" t="s">
        <v>294</v>
      </c>
      <c r="F14" s="50" t="s">
        <v>295</v>
      </c>
      <c r="G14" s="50" t="s">
        <v>441</v>
      </c>
      <c r="H14" s="13"/>
      <c r="J14" s="51" t="str">
        <f t="shared" si="0"/>
        <v>CS007-D.MISC</v>
      </c>
      <c r="K14" s="52" t="str">
        <f t="shared" si="1"/>
        <v>B Tuncks-ONESIMCARD.COM -Machine Data Ops</v>
      </c>
      <c r="L14" s="52" t="s">
        <v>32</v>
      </c>
      <c r="M14" s="53">
        <f t="shared" si="2"/>
        <v>331.42</v>
      </c>
      <c r="N14" s="54" t="s">
        <v>150</v>
      </c>
      <c r="O14" s="44"/>
      <c r="P14" s="54"/>
      <c r="R14" s="21">
        <f t="shared" si="3"/>
        <v>41</v>
      </c>
    </row>
    <row r="15" spans="1:18" ht="15" x14ac:dyDescent="0.2">
      <c r="A15" s="47">
        <v>45869</v>
      </c>
      <c r="B15" s="47" t="s">
        <v>301</v>
      </c>
      <c r="C15" s="48">
        <v>19.23</v>
      </c>
      <c r="D15" s="48"/>
      <c r="E15" s="60" t="s">
        <v>302</v>
      </c>
      <c r="F15" s="49">
        <v>1084</v>
      </c>
      <c r="G15" s="14" t="s">
        <v>290</v>
      </c>
      <c r="H15" s="13"/>
      <c r="J15" s="51" t="str">
        <f t="shared" si="0"/>
        <v>1084.ITSW</v>
      </c>
      <c r="K15" s="52" t="str">
        <f t="shared" si="1"/>
        <v>B Tuncks-TAILSCALE US IN-VPN Solution subscription.</v>
      </c>
      <c r="L15" s="52" t="s">
        <v>32</v>
      </c>
      <c r="M15" s="53">
        <f t="shared" si="2"/>
        <v>19.23</v>
      </c>
      <c r="N15" s="54" t="s">
        <v>150</v>
      </c>
      <c r="O15" s="44"/>
      <c r="P15" s="54"/>
      <c r="R15" s="21">
        <f t="shared" si="3"/>
        <v>51</v>
      </c>
    </row>
    <row r="16" spans="1:18" ht="15" x14ac:dyDescent="0.2">
      <c r="A16" s="47">
        <v>45865</v>
      </c>
      <c r="B16" s="47" t="s">
        <v>303</v>
      </c>
      <c r="C16" s="48">
        <v>23.58</v>
      </c>
      <c r="D16" s="48"/>
      <c r="E16" s="60" t="s">
        <v>304</v>
      </c>
      <c r="F16" s="49">
        <v>1084</v>
      </c>
      <c r="G16" s="14" t="s">
        <v>290</v>
      </c>
      <c r="H16" s="13"/>
      <c r="J16" s="51" t="str">
        <f t="shared" si="0"/>
        <v>1084.ITSW</v>
      </c>
      <c r="K16" s="52" t="str">
        <f t="shared" si="1"/>
        <v>B Tuncks-SMTP2GO, I* SMT-Email Relay service.</v>
      </c>
      <c r="L16" s="52" t="s">
        <v>32</v>
      </c>
      <c r="M16" s="53">
        <f t="shared" si="2"/>
        <v>23.58</v>
      </c>
      <c r="N16" s="54" t="s">
        <v>150</v>
      </c>
      <c r="O16" s="44"/>
      <c r="P16" s="54"/>
      <c r="R16" s="21">
        <f t="shared" si="3"/>
        <v>45</v>
      </c>
    </row>
    <row r="17" spans="1:18" ht="15" x14ac:dyDescent="0.2">
      <c r="A17" s="47">
        <v>45865</v>
      </c>
      <c r="B17" s="47" t="s">
        <v>305</v>
      </c>
      <c r="C17" s="48">
        <v>46.2</v>
      </c>
      <c r="D17" s="48"/>
      <c r="E17" s="60" t="s">
        <v>306</v>
      </c>
      <c r="F17" s="13" t="s">
        <v>507</v>
      </c>
      <c r="G17" s="13" t="s">
        <v>441</v>
      </c>
      <c r="H17" s="13"/>
      <c r="J17" s="51" t="str">
        <f t="shared" ref="J17:J28" si="4">IF(F17&gt;0,(_xlfn.CONCAT(F17,".",G17)),H17)</f>
        <v>1060GE2.MISC</v>
      </c>
      <c r="K17" s="52" t="str">
        <f t="shared" si="1"/>
        <v>B Tuncks-MSFT * E0400WRO-Gaia M365 subscriptions</v>
      </c>
      <c r="L17" s="52" t="s">
        <v>32</v>
      </c>
      <c r="M17" s="53">
        <f t="shared" ref="M17:M28" si="5">IF(C17&gt;0,C17,-D17)</f>
        <v>46.2</v>
      </c>
      <c r="N17" s="54" t="s">
        <v>33</v>
      </c>
      <c r="O17" s="44"/>
      <c r="P17" s="54"/>
      <c r="R17" s="21">
        <f t="shared" si="3"/>
        <v>48</v>
      </c>
    </row>
    <row r="18" spans="1:18" ht="15.75" thickBot="1" x14ac:dyDescent="0.25">
      <c r="A18" s="47">
        <v>45865</v>
      </c>
      <c r="B18" s="47" t="s">
        <v>307</v>
      </c>
      <c r="C18" s="48">
        <v>14.85</v>
      </c>
      <c r="D18" s="48"/>
      <c r="E18" s="60" t="s">
        <v>306</v>
      </c>
      <c r="F18" s="13" t="s">
        <v>507</v>
      </c>
      <c r="G18" s="13" t="s">
        <v>441</v>
      </c>
      <c r="H18" s="13"/>
      <c r="J18" s="51" t="str">
        <f t="shared" si="4"/>
        <v>1060GE2.MISC</v>
      </c>
      <c r="K18" s="52" t="str">
        <f t="shared" si="1"/>
        <v>B Tuncks-MSFT+*+E0400WRQ-Gaia M365 subscriptions</v>
      </c>
      <c r="L18" s="52" t="s">
        <v>32</v>
      </c>
      <c r="M18" s="53">
        <f t="shared" si="5"/>
        <v>14.85</v>
      </c>
      <c r="N18" s="54" t="s">
        <v>33</v>
      </c>
      <c r="O18" s="44"/>
      <c r="P18" s="54"/>
      <c r="R18" s="21">
        <f t="shared" si="3"/>
        <v>48</v>
      </c>
    </row>
    <row r="19" spans="1:18" ht="15.75" thickBot="1" x14ac:dyDescent="0.25">
      <c r="A19" s="47">
        <v>45865</v>
      </c>
      <c r="B19" s="47" t="s">
        <v>308</v>
      </c>
      <c r="C19" s="48">
        <v>506.66</v>
      </c>
      <c r="D19" s="48"/>
      <c r="E19" s="60" t="s">
        <v>306</v>
      </c>
      <c r="F19" s="13" t="s">
        <v>507</v>
      </c>
      <c r="G19" s="13" t="s">
        <v>441</v>
      </c>
      <c r="H19" s="13"/>
      <c r="J19" s="51" t="str">
        <f t="shared" si="4"/>
        <v>1060GE2.MISC</v>
      </c>
      <c r="K19" s="52" t="str">
        <f t="shared" si="1"/>
        <v>B Tuncks-MSFT * E0400WRT-Gaia M365 subscriptions</v>
      </c>
      <c r="L19" s="52" t="s">
        <v>32</v>
      </c>
      <c r="M19" s="53">
        <f t="shared" si="5"/>
        <v>506.66</v>
      </c>
      <c r="N19" s="54" t="s">
        <v>33</v>
      </c>
      <c r="O19" s="44"/>
      <c r="P19" s="54"/>
      <c r="R19" s="21">
        <f t="shared" si="3"/>
        <v>48</v>
      </c>
    </row>
    <row r="20" spans="1:18" ht="15.75" thickBot="1" x14ac:dyDescent="0.25">
      <c r="A20" s="47">
        <v>45865</v>
      </c>
      <c r="B20" s="47" t="s">
        <v>309</v>
      </c>
      <c r="C20" s="48">
        <v>13.2</v>
      </c>
      <c r="D20" s="48"/>
      <c r="E20" s="60" t="s">
        <v>306</v>
      </c>
      <c r="F20" s="13" t="s">
        <v>507</v>
      </c>
      <c r="G20" s="13" t="s">
        <v>441</v>
      </c>
      <c r="H20" s="13"/>
      <c r="J20" s="51" t="str">
        <f t="shared" si="4"/>
        <v>1060GE2.MISC</v>
      </c>
      <c r="K20" s="52" t="str">
        <f t="shared" si="1"/>
        <v>B Tuncks-MSFT * E0400WRQ-Gaia M365 subscriptions</v>
      </c>
      <c r="L20" s="52" t="s">
        <v>32</v>
      </c>
      <c r="M20" s="53">
        <f t="shared" si="5"/>
        <v>13.2</v>
      </c>
      <c r="N20" s="54" t="s">
        <v>33</v>
      </c>
      <c r="O20" s="44"/>
      <c r="P20" s="54"/>
      <c r="R20" s="21">
        <f t="shared" si="3"/>
        <v>48</v>
      </c>
    </row>
    <row r="21" spans="1:18" ht="15" x14ac:dyDescent="0.2">
      <c r="A21" s="47">
        <v>45865</v>
      </c>
      <c r="B21" s="47" t="s">
        <v>310</v>
      </c>
      <c r="C21" s="48">
        <v>29.7</v>
      </c>
      <c r="D21" s="48"/>
      <c r="E21" s="60" t="s">
        <v>306</v>
      </c>
      <c r="F21" s="13" t="s">
        <v>507</v>
      </c>
      <c r="G21" s="13" t="s">
        <v>441</v>
      </c>
      <c r="H21" s="13"/>
      <c r="J21" s="51" t="str">
        <f t="shared" si="4"/>
        <v>1060GE2.MISC</v>
      </c>
      <c r="K21" s="52" t="str">
        <f t="shared" si="1"/>
        <v>B Tuncks-MSFT * E0400WRQ-Gaia M365 subscriptions</v>
      </c>
      <c r="L21" s="52" t="s">
        <v>32</v>
      </c>
      <c r="M21" s="53">
        <f t="shared" si="5"/>
        <v>29.7</v>
      </c>
      <c r="N21" s="54" t="s">
        <v>33</v>
      </c>
      <c r="O21" s="44"/>
      <c r="P21" s="54"/>
      <c r="R21" s="21">
        <f t="shared" si="3"/>
        <v>48</v>
      </c>
    </row>
    <row r="22" spans="1:18" ht="15.75" thickBot="1" x14ac:dyDescent="0.25">
      <c r="A22" s="47">
        <v>45864</v>
      </c>
      <c r="B22" s="47" t="s">
        <v>311</v>
      </c>
      <c r="C22" s="48">
        <v>75.989999999999995</v>
      </c>
      <c r="D22" s="48"/>
      <c r="E22" s="60" t="s">
        <v>312</v>
      </c>
      <c r="F22" s="49">
        <v>1084</v>
      </c>
      <c r="G22" s="14" t="s">
        <v>290</v>
      </c>
      <c r="H22" s="13"/>
      <c r="J22" s="51" t="str">
        <f t="shared" si="4"/>
        <v>1084.ITSW</v>
      </c>
      <c r="K22" s="52" t="str">
        <f t="shared" si="1"/>
        <v>B Tuncks-PAYPAL *ADOBESY-Adobe Acrobat PDF Editor x2</v>
      </c>
      <c r="L22" s="52" t="s">
        <v>32</v>
      </c>
      <c r="M22" s="53">
        <f t="shared" si="5"/>
        <v>75.989999999999995</v>
      </c>
      <c r="N22" s="54" t="s">
        <v>33</v>
      </c>
      <c r="O22" s="44"/>
      <c r="P22" s="54"/>
      <c r="R22" s="21">
        <f t="shared" si="3"/>
        <v>52</v>
      </c>
    </row>
    <row r="23" spans="1:18" ht="15.75" thickBot="1" x14ac:dyDescent="0.25">
      <c r="A23" s="47">
        <v>45860</v>
      </c>
      <c r="B23" s="47" t="s">
        <v>293</v>
      </c>
      <c r="C23" s="48">
        <v>164.59</v>
      </c>
      <c r="D23" s="48"/>
      <c r="E23" s="60" t="s">
        <v>294</v>
      </c>
      <c r="F23" s="87"/>
      <c r="G23" s="87"/>
      <c r="H23" s="13" t="s">
        <v>542</v>
      </c>
      <c r="J23" s="51" t="str">
        <f>IF(F23&gt;0,(_xlfn.CONCAT(F23,".",G23)),H23)</f>
        <v>11053SVC4300</v>
      </c>
      <c r="K23" s="52" t="str">
        <f t="shared" si="1"/>
        <v>B Tuncks-ONESIMCARD.COM -Machine Data Ops</v>
      </c>
      <c r="L23" s="52" t="s">
        <v>32</v>
      </c>
      <c r="M23" s="53">
        <f t="shared" si="5"/>
        <v>164.59</v>
      </c>
      <c r="N23" s="54" t="s">
        <v>150</v>
      </c>
      <c r="O23" s="44"/>
      <c r="P23" s="54"/>
      <c r="R23" s="21">
        <f t="shared" si="3"/>
        <v>41</v>
      </c>
    </row>
    <row r="24" spans="1:18" ht="15.75" thickBot="1" x14ac:dyDescent="0.25">
      <c r="A24" s="47">
        <v>45860</v>
      </c>
      <c r="B24" s="47" t="s">
        <v>313</v>
      </c>
      <c r="C24" s="48">
        <v>34.770000000000003</v>
      </c>
      <c r="D24" s="48"/>
      <c r="E24" s="60" t="s">
        <v>314</v>
      </c>
      <c r="F24" s="49">
        <v>1084</v>
      </c>
      <c r="G24" s="14" t="s">
        <v>290</v>
      </c>
      <c r="H24" s="13"/>
      <c r="J24" s="51" t="str">
        <f t="shared" si="4"/>
        <v>1084.ITSW</v>
      </c>
      <c r="K24" s="52" t="str">
        <f t="shared" si="1"/>
        <v>B Tuncks-1PASSWORD TORON-Password manager subscription</v>
      </c>
      <c r="L24" s="52" t="s">
        <v>32</v>
      </c>
      <c r="M24" s="53">
        <f t="shared" si="5"/>
        <v>34.770000000000003</v>
      </c>
      <c r="N24" s="54" t="s">
        <v>150</v>
      </c>
      <c r="O24" s="44"/>
      <c r="P24" s="54"/>
      <c r="R24" s="21">
        <f t="shared" si="3"/>
        <v>54</v>
      </c>
    </row>
    <row r="25" spans="1:18" ht="15" x14ac:dyDescent="0.2">
      <c r="A25" s="47">
        <v>45857</v>
      </c>
      <c r="B25" s="47" t="s">
        <v>291</v>
      </c>
      <c r="C25" s="48">
        <v>419.3</v>
      </c>
      <c r="D25" s="48"/>
      <c r="E25" s="60" t="s">
        <v>292</v>
      </c>
      <c r="F25" s="49">
        <v>1084</v>
      </c>
      <c r="G25" s="14" t="s">
        <v>290</v>
      </c>
      <c r="H25" s="13"/>
      <c r="J25" s="51" t="str">
        <f t="shared" si="4"/>
        <v>1084.ITSW</v>
      </c>
      <c r="K25" s="52" t="str">
        <f t="shared" si="1"/>
        <v>B Tuncks-INTRUDER.IO PRO-Cyber Security scanner</v>
      </c>
      <c r="L25" s="52" t="s">
        <v>32</v>
      </c>
      <c r="M25" s="53">
        <f t="shared" si="5"/>
        <v>419.3</v>
      </c>
      <c r="N25" s="54" t="s">
        <v>150</v>
      </c>
      <c r="O25" s="44"/>
      <c r="P25" s="54"/>
      <c r="R25" s="21">
        <f t="shared" si="3"/>
        <v>47</v>
      </c>
    </row>
    <row r="26" spans="1:18" ht="15" x14ac:dyDescent="0.2">
      <c r="A26" s="47">
        <v>45855</v>
      </c>
      <c r="B26" s="47" t="s">
        <v>296</v>
      </c>
      <c r="C26" s="48">
        <v>158.63</v>
      </c>
      <c r="D26" s="48"/>
      <c r="E26" s="60" t="s">
        <v>297</v>
      </c>
      <c r="F26" s="49">
        <v>1084</v>
      </c>
      <c r="G26" s="14" t="s">
        <v>290</v>
      </c>
      <c r="H26" s="13"/>
      <c r="J26" s="51" t="str">
        <f t="shared" si="4"/>
        <v>1084.ITSW</v>
      </c>
      <c r="K26" s="52" t="str">
        <f t="shared" si="1"/>
        <v>B Tuncks-DATACHANT HIGHL-Projects Tool</v>
      </c>
      <c r="L26" s="52" t="s">
        <v>32</v>
      </c>
      <c r="M26" s="53">
        <f t="shared" si="5"/>
        <v>158.63</v>
      </c>
      <c r="N26" s="54" t="s">
        <v>150</v>
      </c>
      <c r="O26" s="44"/>
      <c r="P26" s="54"/>
      <c r="R26" s="21">
        <f t="shared" si="3"/>
        <v>38</v>
      </c>
    </row>
    <row r="27" spans="1:18" ht="15" x14ac:dyDescent="0.2">
      <c r="A27" s="47">
        <v>45854</v>
      </c>
      <c r="B27" s="47" t="s">
        <v>315</v>
      </c>
      <c r="C27" s="48">
        <v>435.72</v>
      </c>
      <c r="D27" s="48"/>
      <c r="E27" s="60" t="s">
        <v>316</v>
      </c>
      <c r="F27" s="49">
        <v>1084</v>
      </c>
      <c r="G27" s="14" t="s">
        <v>110</v>
      </c>
      <c r="H27" s="13"/>
      <c r="J27" s="51" t="str">
        <f t="shared" si="4"/>
        <v>1084.ITHA</v>
      </c>
      <c r="K27" s="52" t="str">
        <f t="shared" si="1"/>
        <v>B Tuncks-4CABLING* 4CABL-Fiber cables and optics - Site networking</v>
      </c>
      <c r="L27" s="52" t="s">
        <v>32</v>
      </c>
      <c r="M27" s="53">
        <f t="shared" si="5"/>
        <v>435.72</v>
      </c>
      <c r="N27" s="54" t="s">
        <v>33</v>
      </c>
      <c r="O27" s="44"/>
      <c r="P27" s="54"/>
      <c r="R27" s="21">
        <f t="shared" si="3"/>
        <v>66</v>
      </c>
    </row>
    <row r="28" spans="1:18" ht="15" x14ac:dyDescent="0.2">
      <c r="A28" s="47">
        <v>45853</v>
      </c>
      <c r="B28" s="47" t="s">
        <v>283</v>
      </c>
      <c r="C28" s="48">
        <v>10.94</v>
      </c>
      <c r="D28" s="48"/>
      <c r="E28" s="13" t="s">
        <v>317</v>
      </c>
      <c r="F28" s="73" t="s">
        <v>71</v>
      </c>
      <c r="G28" s="13" t="s">
        <v>113</v>
      </c>
      <c r="H28" s="13"/>
      <c r="J28" s="51" t="str">
        <f t="shared" si="4"/>
        <v>1084.PERS</v>
      </c>
      <c r="K28" s="52" t="str">
        <f t="shared" si="1"/>
        <v>B Tuncks-WWW.ALIEXPRESS.-Charge back to BT accidental purchase.</v>
      </c>
      <c r="L28" s="52" t="s">
        <v>32</v>
      </c>
      <c r="M28" s="53">
        <f t="shared" si="5"/>
        <v>10.94</v>
      </c>
      <c r="N28" s="54" t="s">
        <v>150</v>
      </c>
      <c r="O28" s="44"/>
      <c r="P28" s="54"/>
      <c r="R28" s="21">
        <f t="shared" si="3"/>
        <v>63</v>
      </c>
    </row>
    <row r="29" spans="1:18" x14ac:dyDescent="0.2">
      <c r="R29" s="21">
        <f t="shared" si="3"/>
        <v>0</v>
      </c>
    </row>
    <row r="30" spans="1:18" x14ac:dyDescent="0.2">
      <c r="R30" s="21">
        <f t="shared" si="3"/>
        <v>0</v>
      </c>
    </row>
  </sheetData>
  <mergeCells count="5">
    <mergeCell ref="J1:P1"/>
    <mergeCell ref="A4:H4"/>
    <mergeCell ref="J5:Q5"/>
    <mergeCell ref="E6:H7"/>
    <mergeCell ref="A1:H3"/>
  </mergeCells>
  <conditionalFormatting sqref="B16:B48">
    <cfRule type="cellIs" dxfId="5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801A6-025A-4492-989D-3E9D86B984A6}">
  <sheetPr>
    <tabColor theme="9" tint="0.79998168889431442"/>
  </sheetPr>
  <dimension ref="A1:R30"/>
  <sheetViews>
    <sheetView topLeftCell="C1" workbookViewId="0">
      <selection activeCell="J11" sqref="J11:P25"/>
    </sheetView>
  </sheetViews>
  <sheetFormatPr defaultRowHeight="12.75" x14ac:dyDescent="0.2"/>
  <cols>
    <col min="1" max="1" width="17.42578125" style="3" customWidth="1"/>
    <col min="2" max="2" width="47.42578125" customWidth="1"/>
    <col min="3" max="3" width="13.5703125" customWidth="1"/>
    <col min="4" max="4" width="16.42578125" customWidth="1"/>
    <col min="5" max="5" width="29.42578125" customWidth="1"/>
    <col min="6" max="6" width="14.140625" bestFit="1" customWidth="1"/>
    <col min="7" max="7" width="13.42578125" bestFit="1" customWidth="1"/>
    <col min="8" max="8" width="15.5703125" customWidth="1"/>
    <col min="9" max="9" width="2.42578125" customWidth="1"/>
    <col min="10" max="10" width="21.85546875" bestFit="1" customWidth="1"/>
    <col min="11" max="11" width="58.7109375" bestFit="1" customWidth="1"/>
    <col min="12" max="12" width="4" bestFit="1" customWidth="1"/>
    <col min="15" max="15" width="21.42578125" customWidth="1"/>
    <col min="16" max="16" width="15.85546875" customWidth="1"/>
  </cols>
  <sheetData>
    <row r="1" spans="1:18" ht="12" customHeight="1" x14ac:dyDescent="0.2">
      <c r="A1" s="118" t="s">
        <v>12</v>
      </c>
      <c r="B1" s="119"/>
      <c r="C1" s="119"/>
      <c r="D1" s="119"/>
      <c r="E1" s="119"/>
      <c r="F1" s="119"/>
      <c r="G1" s="119"/>
      <c r="H1" s="119"/>
      <c r="J1" s="113" t="s">
        <v>13</v>
      </c>
      <c r="K1" s="113"/>
      <c r="L1" s="113"/>
      <c r="M1" s="113"/>
      <c r="N1" s="113"/>
      <c r="O1" s="113"/>
      <c r="P1" s="113"/>
    </row>
    <row r="2" spans="1:18" ht="12" customHeight="1" x14ac:dyDescent="0.2">
      <c r="A2" s="118"/>
      <c r="B2" s="119"/>
      <c r="C2" s="119"/>
      <c r="D2" s="119"/>
      <c r="E2" s="119"/>
      <c r="F2" s="119"/>
      <c r="G2" s="119"/>
      <c r="H2" s="119"/>
      <c r="J2" s="74" t="s">
        <v>508</v>
      </c>
      <c r="K2" s="88">
        <v>3842.74</v>
      </c>
      <c r="L2" s="74"/>
      <c r="M2" s="74"/>
      <c r="N2" s="74"/>
      <c r="O2" s="74"/>
      <c r="P2" s="74"/>
    </row>
    <row r="3" spans="1:18" ht="12" customHeight="1" x14ac:dyDescent="0.2">
      <c r="A3" s="118"/>
      <c r="B3" s="119"/>
      <c r="C3" s="119"/>
      <c r="D3" s="119"/>
      <c r="E3" s="119"/>
      <c r="F3" s="119"/>
      <c r="G3" s="119"/>
      <c r="H3" s="119"/>
      <c r="J3" t="s">
        <v>509</v>
      </c>
      <c r="K3" s="21">
        <f>SUM(M9:M144)</f>
        <v>3842.7399999999993</v>
      </c>
      <c r="L3" s="74"/>
      <c r="M3" s="74"/>
      <c r="N3" s="74"/>
      <c r="O3" s="74"/>
      <c r="P3" s="74"/>
    </row>
    <row r="4" spans="1:18" ht="12" customHeight="1" x14ac:dyDescent="0.2">
      <c r="A4" s="114" t="s">
        <v>318</v>
      </c>
      <c r="B4" s="113"/>
      <c r="C4" s="113"/>
      <c r="D4" s="113"/>
      <c r="E4" s="113"/>
      <c r="F4" s="113"/>
      <c r="G4" s="113"/>
      <c r="H4" s="113"/>
      <c r="J4" t="s">
        <v>510</v>
      </c>
      <c r="K4" s="21">
        <f>K2-K3</f>
        <v>0</v>
      </c>
    </row>
    <row r="5" spans="1:18" ht="12" customHeight="1" x14ac:dyDescent="0.2">
      <c r="A5" s="9" t="s">
        <v>3</v>
      </c>
      <c r="B5" s="10" t="str">
        <f>CONCATENATE(Header!$E$4,"Rouhan")</f>
        <v>MC-250816Rouhan</v>
      </c>
      <c r="C5" s="8"/>
      <c r="D5" s="8"/>
      <c r="E5" s="8"/>
      <c r="J5" s="115" t="s">
        <v>15</v>
      </c>
      <c r="K5" s="115"/>
      <c r="L5" s="115"/>
      <c r="M5" s="115"/>
      <c r="N5" s="115"/>
      <c r="O5" s="115"/>
      <c r="P5" s="115"/>
      <c r="Q5" s="115"/>
    </row>
    <row r="6" spans="1:18" ht="12" customHeight="1" x14ac:dyDescent="0.2">
      <c r="A6" s="9" t="s">
        <v>5</v>
      </c>
      <c r="B6" s="12">
        <f>Header!$E$5</f>
        <v>45885</v>
      </c>
      <c r="C6" s="8"/>
      <c r="D6" s="8"/>
      <c r="E6" s="116" t="s">
        <v>16</v>
      </c>
      <c r="F6" s="116"/>
      <c r="G6" s="116"/>
      <c r="H6" s="116"/>
    </row>
    <row r="7" spans="1:18" ht="12" customHeight="1" thickBot="1" x14ac:dyDescent="0.25">
      <c r="A7" s="11"/>
      <c r="B7" s="8"/>
      <c r="C7" s="8"/>
      <c r="D7" s="8"/>
      <c r="E7" s="117"/>
      <c r="F7" s="117"/>
      <c r="G7" s="117"/>
      <c r="H7" s="117"/>
    </row>
    <row r="8" spans="1:18" ht="45.75" thickBot="1" x14ac:dyDescent="0.25">
      <c r="A8" s="32" t="s">
        <v>17</v>
      </c>
      <c r="B8" s="33" t="s">
        <v>18</v>
      </c>
      <c r="C8" s="33" t="s">
        <v>19</v>
      </c>
      <c r="D8" s="33" t="s">
        <v>20</v>
      </c>
      <c r="E8" s="19" t="s">
        <v>36</v>
      </c>
      <c r="F8" s="16" t="s">
        <v>22</v>
      </c>
      <c r="G8" s="17" t="s">
        <v>23</v>
      </c>
      <c r="H8" s="18" t="s">
        <v>24</v>
      </c>
      <c r="J8" s="32" t="s">
        <v>25</v>
      </c>
      <c r="K8" s="33" t="s">
        <v>3</v>
      </c>
      <c r="L8" s="33" t="s">
        <v>26</v>
      </c>
      <c r="M8" s="33" t="s">
        <v>27</v>
      </c>
      <c r="N8" s="34" t="s">
        <v>28</v>
      </c>
      <c r="O8" s="34" t="s">
        <v>29</v>
      </c>
      <c r="P8" s="34" t="s">
        <v>30</v>
      </c>
      <c r="R8" s="90" t="s">
        <v>511</v>
      </c>
    </row>
    <row r="9" spans="1:18" ht="15.75" thickBot="1" x14ac:dyDescent="0.25">
      <c r="A9" s="45">
        <v>45882</v>
      </c>
      <c r="B9" s="45" t="s">
        <v>37</v>
      </c>
      <c r="C9" s="46">
        <v>72.2</v>
      </c>
      <c r="D9" s="46"/>
      <c r="E9" s="57" t="s">
        <v>518</v>
      </c>
      <c r="F9" s="58">
        <v>1084</v>
      </c>
      <c r="G9" s="57" t="s">
        <v>126</v>
      </c>
      <c r="H9" s="59"/>
      <c r="J9" s="51" t="str">
        <f t="shared" ref="J9:J16" si="0">IF(F9&gt;0,(_xlfn.CONCAT(F9,".",G9)),H9)</f>
        <v>1084.STAF</v>
      </c>
      <c r="K9" s="52" t="str">
        <f>_xlfn.CONCAT("K Rouhan-",(LEFT(B9,15)),"-",E9)</f>
        <v>K Rouhan-WOOLWORTHS     -Drinks, Fruit etc</v>
      </c>
      <c r="L9" s="52" t="s">
        <v>32</v>
      </c>
      <c r="M9" s="53">
        <f>IF(C9&gt;0,C9,-D9)</f>
        <v>72.2</v>
      </c>
      <c r="N9" s="54" t="s">
        <v>33</v>
      </c>
      <c r="O9" s="44"/>
      <c r="P9" s="55"/>
      <c r="Q9" t="s">
        <v>34</v>
      </c>
      <c r="R9" s="21">
        <f>LEN(K9)</f>
        <v>42</v>
      </c>
    </row>
    <row r="10" spans="1:18" ht="15.75" thickBot="1" x14ac:dyDescent="0.25">
      <c r="A10" s="47">
        <v>45881</v>
      </c>
      <c r="B10" s="47" t="s">
        <v>319</v>
      </c>
      <c r="C10" s="48">
        <v>399.88</v>
      </c>
      <c r="D10" s="48"/>
      <c r="E10" s="60" t="s">
        <v>320</v>
      </c>
      <c r="F10" s="61">
        <v>1084</v>
      </c>
      <c r="G10" s="60" t="s">
        <v>290</v>
      </c>
      <c r="H10" s="62"/>
      <c r="J10" s="51" t="str">
        <f t="shared" si="0"/>
        <v>1084.ITSW</v>
      </c>
      <c r="K10" s="52" t="str">
        <f t="shared" ref="K10:K25" si="1">_xlfn.CONCAT("K Rouhan-",(LEFT(B10,15)),"-",E10)</f>
        <v>K Rouhan-HTTPS://SCRIBE.-Prepaid sofware  - Scorm Files</v>
      </c>
      <c r="L10" s="52" t="s">
        <v>32</v>
      </c>
      <c r="M10" s="53">
        <f t="shared" ref="M10:M16" si="2">IF(C10&gt;0,C10,-D10)</f>
        <v>399.88</v>
      </c>
      <c r="N10" s="54" t="s">
        <v>150</v>
      </c>
      <c r="O10" s="44"/>
      <c r="P10" s="54"/>
      <c r="R10" s="21">
        <f t="shared" ref="R10:R30" si="3">LEN(K10)</f>
        <v>55</v>
      </c>
    </row>
    <row r="11" spans="1:18" ht="15.75" thickBot="1" x14ac:dyDescent="0.25">
      <c r="A11" s="47">
        <v>45881</v>
      </c>
      <c r="B11" s="47" t="s">
        <v>321</v>
      </c>
      <c r="C11" s="48">
        <v>11.15</v>
      </c>
      <c r="D11" s="48"/>
      <c r="E11" s="60" t="s">
        <v>322</v>
      </c>
      <c r="F11" s="61">
        <v>1084</v>
      </c>
      <c r="G11" s="62" t="s">
        <v>323</v>
      </c>
      <c r="H11" s="60"/>
      <c r="J11" s="51" t="str">
        <f>IF(F11&gt;0,(_xlfn.CONCAT(F11,".",G11)),H11)</f>
        <v>1084.POST</v>
      </c>
      <c r="K11" s="52" t="str">
        <f t="shared" si="1"/>
        <v>K Rouhan-POST LUCAS LPO -Postage to Perth Office</v>
      </c>
      <c r="L11" s="52" t="s">
        <v>32</v>
      </c>
      <c r="M11" s="53">
        <f t="shared" si="2"/>
        <v>11.15</v>
      </c>
      <c r="N11" s="54" t="s">
        <v>33</v>
      </c>
      <c r="O11" s="44"/>
      <c r="P11" s="54"/>
      <c r="R11" s="21">
        <f t="shared" si="3"/>
        <v>48</v>
      </c>
    </row>
    <row r="12" spans="1:18" ht="15.75" thickBot="1" x14ac:dyDescent="0.25">
      <c r="A12" s="47">
        <v>45880</v>
      </c>
      <c r="B12" s="47" t="s">
        <v>324</v>
      </c>
      <c r="C12" s="48">
        <v>202.2</v>
      </c>
      <c r="D12" s="48"/>
      <c r="E12" s="60" t="s">
        <v>325</v>
      </c>
      <c r="F12" s="61">
        <v>1084</v>
      </c>
      <c r="G12" s="60" t="s">
        <v>126</v>
      </c>
      <c r="H12" s="62"/>
      <c r="J12" s="51" t="str">
        <f t="shared" si="0"/>
        <v>1084.STAF</v>
      </c>
      <c r="K12" s="52" t="str">
        <f t="shared" si="1"/>
        <v>K Rouhan-BALLARATS SANCT-Gift for O'Halloran Family Baby</v>
      </c>
      <c r="L12" s="52" t="s">
        <v>32</v>
      </c>
      <c r="M12" s="53">
        <f t="shared" si="2"/>
        <v>202.2</v>
      </c>
      <c r="N12" s="54" t="s">
        <v>33</v>
      </c>
      <c r="O12" s="44"/>
      <c r="P12" s="54"/>
      <c r="R12" s="21">
        <f t="shared" si="3"/>
        <v>56</v>
      </c>
    </row>
    <row r="13" spans="1:18" ht="15.75" thickBot="1" x14ac:dyDescent="0.25">
      <c r="A13" s="47">
        <v>45880</v>
      </c>
      <c r="B13" s="47" t="s">
        <v>326</v>
      </c>
      <c r="C13" s="48">
        <v>212.68</v>
      </c>
      <c r="D13" s="48"/>
      <c r="E13" s="60" t="s">
        <v>327</v>
      </c>
      <c r="F13" s="61">
        <v>1084</v>
      </c>
      <c r="G13" s="60" t="s">
        <v>116</v>
      </c>
      <c r="H13" s="60"/>
      <c r="J13" s="51" t="str">
        <f t="shared" si="0"/>
        <v>1084.ENON</v>
      </c>
      <c r="K13" s="52" t="str">
        <f t="shared" si="1"/>
        <v>K Rouhan-Golden Nugget B-Catering for Pronto team - Onsite</v>
      </c>
      <c r="L13" s="52" t="s">
        <v>32</v>
      </c>
      <c r="M13" s="53">
        <f t="shared" si="2"/>
        <v>212.68</v>
      </c>
      <c r="N13" s="54" t="s">
        <v>33</v>
      </c>
      <c r="O13" s="44"/>
      <c r="P13" s="54"/>
      <c r="R13" s="21">
        <f t="shared" si="3"/>
        <v>58</v>
      </c>
    </row>
    <row r="14" spans="1:18" ht="15.75" thickBot="1" x14ac:dyDescent="0.25">
      <c r="A14" s="47">
        <v>45875</v>
      </c>
      <c r="B14" s="47" t="s">
        <v>328</v>
      </c>
      <c r="C14" s="48">
        <v>663.77</v>
      </c>
      <c r="D14" s="48"/>
      <c r="E14" s="60" t="s">
        <v>329</v>
      </c>
      <c r="F14" s="61">
        <v>1084</v>
      </c>
      <c r="G14" s="60" t="s">
        <v>116</v>
      </c>
      <c r="H14" s="60"/>
      <c r="J14" s="51" t="str">
        <f t="shared" si="0"/>
        <v>1084.ENON</v>
      </c>
      <c r="K14" s="52" t="str">
        <f t="shared" si="1"/>
        <v>K Rouhan-SMP*Major Roast-Wednesday lunch - Onsite</v>
      </c>
      <c r="L14" s="52" t="s">
        <v>32</v>
      </c>
      <c r="M14" s="53">
        <f t="shared" si="2"/>
        <v>663.77</v>
      </c>
      <c r="N14" s="54" t="s">
        <v>33</v>
      </c>
      <c r="O14" s="44"/>
      <c r="P14" s="54"/>
      <c r="R14" s="21">
        <f t="shared" si="3"/>
        <v>49</v>
      </c>
    </row>
    <row r="15" spans="1:18" ht="15.75" thickBot="1" x14ac:dyDescent="0.25">
      <c r="A15" s="47">
        <v>45875</v>
      </c>
      <c r="B15" s="47" t="s">
        <v>37</v>
      </c>
      <c r="C15" s="48">
        <v>209.21</v>
      </c>
      <c r="D15" s="48"/>
      <c r="E15" s="60" t="s">
        <v>330</v>
      </c>
      <c r="F15" s="61">
        <v>1084</v>
      </c>
      <c r="G15" s="60" t="s">
        <v>116</v>
      </c>
      <c r="H15" s="60"/>
      <c r="J15" s="51" t="str">
        <f t="shared" si="0"/>
        <v>1084.ENON</v>
      </c>
      <c r="K15" s="52" t="str">
        <f t="shared" si="1"/>
        <v>K Rouhan-WOOLWORTHS     -Food for Wednesday lunch</v>
      </c>
      <c r="L15" s="52" t="s">
        <v>32</v>
      </c>
      <c r="M15" s="53">
        <f t="shared" si="2"/>
        <v>209.21</v>
      </c>
      <c r="N15" s="54" t="s">
        <v>33</v>
      </c>
      <c r="O15" s="44"/>
      <c r="P15" s="54"/>
      <c r="R15" s="21">
        <f t="shared" si="3"/>
        <v>49</v>
      </c>
    </row>
    <row r="16" spans="1:18" ht="15.75" thickBot="1" x14ac:dyDescent="0.25">
      <c r="A16" s="47">
        <v>45875</v>
      </c>
      <c r="B16" s="47" t="s">
        <v>520</v>
      </c>
      <c r="C16" s="48">
        <v>62.8</v>
      </c>
      <c r="D16" s="48"/>
      <c r="E16" s="60" t="s">
        <v>521</v>
      </c>
      <c r="F16" s="61">
        <v>1084</v>
      </c>
      <c r="G16" s="60" t="s">
        <v>116</v>
      </c>
      <c r="H16" s="60"/>
      <c r="J16" s="51" t="str">
        <f t="shared" si="0"/>
        <v>1084.ENON</v>
      </c>
      <c r="K16" s="52" t="str">
        <f t="shared" si="1"/>
        <v>K Rouhan-Bakers Delight-Rolls for Wednesday lunch - Onsite</v>
      </c>
      <c r="L16" s="52" t="s">
        <v>32</v>
      </c>
      <c r="M16" s="53">
        <f t="shared" si="2"/>
        <v>62.8</v>
      </c>
      <c r="N16" s="54" t="s">
        <v>33</v>
      </c>
      <c r="O16" s="44"/>
      <c r="P16" s="54"/>
      <c r="R16" s="21">
        <f t="shared" si="3"/>
        <v>58</v>
      </c>
    </row>
    <row r="17" spans="1:18" ht="15.75" thickBot="1" x14ac:dyDescent="0.25">
      <c r="A17" s="47">
        <v>45872</v>
      </c>
      <c r="B17" s="47" t="s">
        <v>144</v>
      </c>
      <c r="C17" s="48">
        <v>219.9</v>
      </c>
      <c r="D17" s="48"/>
      <c r="E17" s="60" t="s">
        <v>332</v>
      </c>
      <c r="F17" s="61">
        <v>1084</v>
      </c>
      <c r="G17" s="60" t="s">
        <v>116</v>
      </c>
      <c r="H17" s="60"/>
      <c r="J17" s="51" t="str">
        <f t="shared" ref="J17:J25" si="4">IF(F17&gt;0,(_xlfn.CONCAT(F17,".",G17)),H17)</f>
        <v>1084.ENON</v>
      </c>
      <c r="K17" s="52" t="str">
        <f t="shared" si="1"/>
        <v>K Rouhan-Subway Wendoure-Pronto Team lunch - Onsite</v>
      </c>
      <c r="L17" s="52" t="s">
        <v>32</v>
      </c>
      <c r="M17" s="53">
        <f t="shared" ref="M17:M25" si="5">IF(C17&gt;0,C17,-D17)</f>
        <v>219.9</v>
      </c>
      <c r="N17" s="54" t="s">
        <v>33</v>
      </c>
      <c r="O17" s="44"/>
      <c r="P17" s="54"/>
      <c r="R17" s="21">
        <f t="shared" si="3"/>
        <v>51</v>
      </c>
    </row>
    <row r="18" spans="1:18" ht="15.75" thickBot="1" x14ac:dyDescent="0.25">
      <c r="A18" s="47">
        <v>45872</v>
      </c>
      <c r="B18" s="47" t="s">
        <v>333</v>
      </c>
      <c r="C18" s="48">
        <v>7.5</v>
      </c>
      <c r="D18" s="48"/>
      <c r="E18" s="60" t="s">
        <v>334</v>
      </c>
      <c r="F18" s="61">
        <v>1084</v>
      </c>
      <c r="G18" s="60" t="s">
        <v>126</v>
      </c>
      <c r="H18" s="60"/>
      <c r="J18" s="51" t="str">
        <f t="shared" si="4"/>
        <v>1084.STAF</v>
      </c>
      <c r="K18" s="52" t="str">
        <f t="shared" si="1"/>
        <v>K Rouhan-EG GROUP       -Purchase of Milk</v>
      </c>
      <c r="L18" s="52" t="s">
        <v>32</v>
      </c>
      <c r="M18" s="53">
        <f t="shared" si="5"/>
        <v>7.5</v>
      </c>
      <c r="N18" s="54" t="s">
        <v>33</v>
      </c>
      <c r="O18" s="44"/>
      <c r="P18" s="54"/>
      <c r="R18" s="21">
        <f t="shared" si="3"/>
        <v>41</v>
      </c>
    </row>
    <row r="19" spans="1:18" ht="15.75" thickBot="1" x14ac:dyDescent="0.25">
      <c r="A19" s="47">
        <v>45870</v>
      </c>
      <c r="B19" s="47" t="s">
        <v>321</v>
      </c>
      <c r="C19" s="48">
        <v>4.7</v>
      </c>
      <c r="D19" s="48"/>
      <c r="E19" s="60" t="s">
        <v>322</v>
      </c>
      <c r="F19" s="61">
        <v>1084</v>
      </c>
      <c r="G19" s="60" t="s">
        <v>323</v>
      </c>
      <c r="H19" s="60"/>
      <c r="J19" s="51" t="str">
        <f t="shared" si="4"/>
        <v>1084.POST</v>
      </c>
      <c r="K19" s="52" t="str">
        <f t="shared" si="1"/>
        <v>K Rouhan-POST LUCAS LPO -Postage to Perth Office</v>
      </c>
      <c r="L19" s="52" t="s">
        <v>32</v>
      </c>
      <c r="M19" s="53">
        <f t="shared" si="5"/>
        <v>4.7</v>
      </c>
      <c r="N19" s="54" t="s">
        <v>33</v>
      </c>
      <c r="O19" s="44"/>
      <c r="P19" s="54"/>
      <c r="R19" s="21">
        <f t="shared" si="3"/>
        <v>48</v>
      </c>
    </row>
    <row r="20" spans="1:18" ht="15.75" thickBot="1" x14ac:dyDescent="0.25">
      <c r="A20" s="47">
        <v>45868</v>
      </c>
      <c r="B20" s="47" t="s">
        <v>335</v>
      </c>
      <c r="C20" s="48">
        <v>400</v>
      </c>
      <c r="D20" s="48"/>
      <c r="E20" s="60" t="s">
        <v>336</v>
      </c>
      <c r="F20" s="61">
        <v>1084</v>
      </c>
      <c r="G20" s="60" t="s">
        <v>126</v>
      </c>
      <c r="H20" s="60"/>
      <c r="J20" s="51" t="str">
        <f t="shared" si="4"/>
        <v>1084.STAF</v>
      </c>
      <c r="K20" s="52" t="str">
        <f t="shared" si="1"/>
        <v>K Rouhan-BABY BUNTING WE-Gift for O'Halloran Baby</v>
      </c>
      <c r="L20" s="52" t="s">
        <v>32</v>
      </c>
      <c r="M20" s="53">
        <f t="shared" si="5"/>
        <v>400</v>
      </c>
      <c r="N20" s="54" t="s">
        <v>33</v>
      </c>
      <c r="O20" s="44"/>
      <c r="P20" s="54"/>
      <c r="R20" s="21">
        <f t="shared" si="3"/>
        <v>49</v>
      </c>
    </row>
    <row r="21" spans="1:18" ht="15.75" thickBot="1" x14ac:dyDescent="0.25">
      <c r="A21" s="47">
        <v>45868</v>
      </c>
      <c r="B21" s="47" t="s">
        <v>337</v>
      </c>
      <c r="C21" s="48">
        <v>23.19</v>
      </c>
      <c r="D21" s="48"/>
      <c r="E21" s="60" t="s">
        <v>338</v>
      </c>
      <c r="F21" s="61">
        <v>1084</v>
      </c>
      <c r="G21" s="60" t="s">
        <v>126</v>
      </c>
      <c r="H21" s="60"/>
      <c r="J21" s="51" t="str">
        <f t="shared" si="4"/>
        <v>1084.STAF</v>
      </c>
      <c r="K21" s="52" t="str">
        <f t="shared" si="1"/>
        <v>K Rouhan-Nextra Wendoure-Purchase of cards to staff</v>
      </c>
      <c r="L21" s="52" t="s">
        <v>32</v>
      </c>
      <c r="M21" s="53">
        <f t="shared" si="5"/>
        <v>23.19</v>
      </c>
      <c r="N21" s="54" t="s">
        <v>33</v>
      </c>
      <c r="O21" s="44"/>
      <c r="P21" s="54"/>
      <c r="R21" s="21">
        <f t="shared" si="3"/>
        <v>51</v>
      </c>
    </row>
    <row r="22" spans="1:18" ht="15.75" thickBot="1" x14ac:dyDescent="0.25">
      <c r="A22" s="47">
        <v>45868</v>
      </c>
      <c r="B22" s="47" t="s">
        <v>326</v>
      </c>
      <c r="C22" s="48">
        <v>807.79</v>
      </c>
      <c r="D22" s="48"/>
      <c r="E22" s="60" t="s">
        <v>339</v>
      </c>
      <c r="F22" s="61">
        <v>1084</v>
      </c>
      <c r="G22" s="60" t="s">
        <v>116</v>
      </c>
      <c r="H22" s="60"/>
      <c r="J22" s="51" t="str">
        <f t="shared" si="4"/>
        <v>1084.ENON</v>
      </c>
      <c r="K22" s="52" t="str">
        <f t="shared" si="1"/>
        <v>K Rouhan-Golden Nugget B-Wednesday Lunch - Onsite</v>
      </c>
      <c r="L22" s="52" t="s">
        <v>32</v>
      </c>
      <c r="M22" s="53">
        <f t="shared" si="5"/>
        <v>807.79</v>
      </c>
      <c r="N22" s="54" t="s">
        <v>33</v>
      </c>
      <c r="O22" s="44"/>
      <c r="P22" s="54"/>
      <c r="R22" s="21">
        <f t="shared" si="3"/>
        <v>49</v>
      </c>
    </row>
    <row r="23" spans="1:18" ht="15.75" thickBot="1" x14ac:dyDescent="0.25">
      <c r="A23" s="47">
        <v>45867</v>
      </c>
      <c r="B23" s="47" t="s">
        <v>340</v>
      </c>
      <c r="C23" s="48">
        <v>226.1</v>
      </c>
      <c r="D23" s="48"/>
      <c r="E23" s="60" t="s">
        <v>519</v>
      </c>
      <c r="F23" s="61">
        <v>1084</v>
      </c>
      <c r="G23" s="60" t="s">
        <v>126</v>
      </c>
      <c r="H23" s="60"/>
      <c r="J23" s="51" t="str">
        <f t="shared" si="4"/>
        <v>1084.STAF</v>
      </c>
      <c r="K23" s="52" t="str">
        <f t="shared" si="1"/>
        <v>K Rouhan-Woolworths Onli- Drinks, Sugar, Fruit</v>
      </c>
      <c r="L23" s="52" t="s">
        <v>32</v>
      </c>
      <c r="M23" s="53">
        <f t="shared" si="5"/>
        <v>226.1</v>
      </c>
      <c r="N23" s="54" t="s">
        <v>33</v>
      </c>
      <c r="O23" s="44"/>
      <c r="P23" s="54"/>
      <c r="R23" s="21">
        <f t="shared" si="3"/>
        <v>46</v>
      </c>
    </row>
    <row r="24" spans="1:18" ht="15.75" thickBot="1" x14ac:dyDescent="0.25">
      <c r="A24" s="47">
        <v>45863</v>
      </c>
      <c r="B24" s="47" t="s">
        <v>341</v>
      </c>
      <c r="C24" s="48">
        <v>11.74</v>
      </c>
      <c r="D24" s="48"/>
      <c r="E24" s="60" t="s">
        <v>334</v>
      </c>
      <c r="F24" s="61">
        <v>1084</v>
      </c>
      <c r="G24" s="60" t="s">
        <v>126</v>
      </c>
      <c r="H24" s="60"/>
      <c r="J24" s="51" t="str">
        <f t="shared" si="4"/>
        <v>1084.STAF</v>
      </c>
      <c r="K24" s="52" t="str">
        <f t="shared" si="1"/>
        <v>K Rouhan-ALDI STORES WEN-Purchase of Milk</v>
      </c>
      <c r="L24" s="52" t="s">
        <v>32</v>
      </c>
      <c r="M24" s="53">
        <f t="shared" si="5"/>
        <v>11.74</v>
      </c>
      <c r="N24" s="54" t="s">
        <v>33</v>
      </c>
      <c r="O24" s="44"/>
      <c r="P24" s="54"/>
      <c r="R24" s="21">
        <f t="shared" si="3"/>
        <v>41</v>
      </c>
    </row>
    <row r="25" spans="1:18" ht="15.75" thickBot="1" x14ac:dyDescent="0.25">
      <c r="A25" s="47">
        <v>45862</v>
      </c>
      <c r="B25" s="47" t="s">
        <v>342</v>
      </c>
      <c r="C25" s="48">
        <v>307.93</v>
      </c>
      <c r="D25" s="48"/>
      <c r="E25" s="60" t="s">
        <v>343</v>
      </c>
      <c r="F25" s="61">
        <v>1084</v>
      </c>
      <c r="G25" s="60" t="s">
        <v>126</v>
      </c>
      <c r="H25" s="60"/>
      <c r="J25" s="51" t="str">
        <f t="shared" si="4"/>
        <v>1084.STAF</v>
      </c>
      <c r="K25" s="52" t="str">
        <f t="shared" si="1"/>
        <v>K Rouhan-DAN MURPHY'S   -Drinks for Friday night drinks - Onsite</v>
      </c>
      <c r="L25" s="52" t="s">
        <v>32</v>
      </c>
      <c r="M25" s="53">
        <f t="shared" si="5"/>
        <v>307.93</v>
      </c>
      <c r="N25" s="54" t="s">
        <v>33</v>
      </c>
      <c r="O25" s="44"/>
      <c r="P25" s="54"/>
      <c r="R25" s="21">
        <f t="shared" si="3"/>
        <v>64</v>
      </c>
    </row>
    <row r="26" spans="1:18" x14ac:dyDescent="0.2">
      <c r="R26" s="21">
        <f t="shared" si="3"/>
        <v>0</v>
      </c>
    </row>
    <row r="27" spans="1:18" x14ac:dyDescent="0.2">
      <c r="R27" s="21">
        <f t="shared" si="3"/>
        <v>0</v>
      </c>
    </row>
    <row r="28" spans="1:18" x14ac:dyDescent="0.2">
      <c r="R28" s="21">
        <f t="shared" si="3"/>
        <v>0</v>
      </c>
    </row>
    <row r="29" spans="1:18" x14ac:dyDescent="0.2">
      <c r="R29" s="21">
        <f t="shared" si="3"/>
        <v>0</v>
      </c>
    </row>
    <row r="30" spans="1:18" x14ac:dyDescent="0.2">
      <c r="R30" s="21">
        <f t="shared" si="3"/>
        <v>0</v>
      </c>
    </row>
  </sheetData>
  <mergeCells count="5">
    <mergeCell ref="J1:P1"/>
    <mergeCell ref="A4:H4"/>
    <mergeCell ref="J5:Q5"/>
    <mergeCell ref="E6:H7"/>
    <mergeCell ref="A1:H3"/>
  </mergeCells>
  <conditionalFormatting sqref="B16:B48">
    <cfRule type="cellIs" dxfId="4" priority="1" operator="lessThan">
      <formula>0</formula>
    </cfRule>
  </conditionalFormatting>
  <dataValidations count="1">
    <dataValidation type="list" allowBlank="1" showInputMessage="1" showErrorMessage="1" sqref="C16:C48" xr:uid="{6C857716-5615-4AFD-95E1-3989D206F57F}">
      <formula1>"GST 10%, GST FREE"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9" tint="0.79998168889431442"/>
  </sheetPr>
  <dimension ref="A1:R30"/>
  <sheetViews>
    <sheetView topLeftCell="C1" workbookViewId="0">
      <selection activeCell="J11" sqref="J11:P25"/>
    </sheetView>
  </sheetViews>
  <sheetFormatPr defaultRowHeight="12.75" x14ac:dyDescent="0.2"/>
  <cols>
    <col min="1" max="1" width="17.42578125" style="3" customWidth="1"/>
    <col min="2" max="2" width="47.42578125" customWidth="1"/>
    <col min="3" max="3" width="13.5703125" customWidth="1"/>
    <col min="4" max="4" width="16.42578125" customWidth="1"/>
    <col min="5" max="5" width="39" customWidth="1"/>
    <col min="6" max="6" width="14.140625" bestFit="1" customWidth="1"/>
    <col min="7" max="7" width="13.42578125" bestFit="1" customWidth="1"/>
    <col min="8" max="8" width="15.5703125" customWidth="1"/>
    <col min="9" max="9" width="2.42578125" customWidth="1"/>
    <col min="10" max="10" width="21.85546875" bestFit="1" customWidth="1"/>
    <col min="11" max="11" width="68.7109375" bestFit="1" customWidth="1"/>
    <col min="12" max="12" width="4" bestFit="1" customWidth="1"/>
    <col min="15" max="15" width="21.42578125" customWidth="1"/>
    <col min="16" max="16" width="15.85546875" customWidth="1"/>
  </cols>
  <sheetData>
    <row r="1" spans="1:18" ht="12" customHeight="1" x14ac:dyDescent="0.2">
      <c r="A1" s="118" t="s">
        <v>12</v>
      </c>
      <c r="B1" s="119"/>
      <c r="C1" s="119"/>
      <c r="D1" s="119"/>
      <c r="E1" s="119"/>
      <c r="F1" s="119"/>
      <c r="G1" s="119"/>
      <c r="H1" s="119"/>
      <c r="J1" s="113" t="s">
        <v>13</v>
      </c>
      <c r="K1" s="113"/>
      <c r="L1" s="113"/>
      <c r="M1" s="113"/>
      <c r="N1" s="113"/>
      <c r="O1" s="113"/>
      <c r="P1" s="113"/>
    </row>
    <row r="2" spans="1:18" ht="12" customHeight="1" x14ac:dyDescent="0.2">
      <c r="A2" s="118"/>
      <c r="B2" s="119"/>
      <c r="C2" s="119"/>
      <c r="D2" s="119"/>
      <c r="E2" s="119"/>
      <c r="F2" s="119"/>
      <c r="G2" s="119"/>
      <c r="H2" s="119"/>
      <c r="J2" s="74" t="s">
        <v>508</v>
      </c>
      <c r="K2" s="88">
        <v>1139.3</v>
      </c>
      <c r="L2" s="74"/>
      <c r="M2" s="74"/>
      <c r="N2" s="74"/>
      <c r="O2" s="74"/>
      <c r="P2" s="74"/>
    </row>
    <row r="3" spans="1:18" ht="12" customHeight="1" x14ac:dyDescent="0.2">
      <c r="A3" s="118"/>
      <c r="B3" s="119"/>
      <c r="C3" s="119"/>
      <c r="D3" s="119"/>
      <c r="E3" s="119"/>
      <c r="F3" s="119"/>
      <c r="G3" s="119"/>
      <c r="H3" s="119"/>
      <c r="J3" t="s">
        <v>509</v>
      </c>
      <c r="K3" s="21">
        <f>SUM(M9:M144)</f>
        <v>1139.3</v>
      </c>
      <c r="L3" s="74"/>
      <c r="M3" s="74"/>
      <c r="N3" s="74"/>
      <c r="O3" s="74"/>
      <c r="P3" s="74"/>
    </row>
    <row r="4" spans="1:18" ht="12" customHeight="1" x14ac:dyDescent="0.2">
      <c r="A4" s="114" t="s">
        <v>344</v>
      </c>
      <c r="B4" s="113"/>
      <c r="C4" s="113"/>
      <c r="D4" s="113"/>
      <c r="E4" s="113"/>
      <c r="F4" s="113"/>
      <c r="G4" s="113"/>
      <c r="H4" s="113"/>
      <c r="J4" t="s">
        <v>510</v>
      </c>
      <c r="K4" s="21">
        <f>K2-K3</f>
        <v>0</v>
      </c>
    </row>
    <row r="5" spans="1:18" ht="12" customHeight="1" x14ac:dyDescent="0.2">
      <c r="A5" s="9" t="s">
        <v>3</v>
      </c>
      <c r="B5" s="10" t="str">
        <f>CONCATENATE(Header!$E$4,"Trenorden")</f>
        <v>MC-250816Trenorden</v>
      </c>
      <c r="C5" s="8"/>
      <c r="D5" s="8"/>
      <c r="E5" s="8"/>
      <c r="J5" s="115" t="s">
        <v>15</v>
      </c>
      <c r="K5" s="115"/>
      <c r="L5" s="115"/>
      <c r="M5" s="115"/>
      <c r="N5" s="115"/>
      <c r="O5" s="115"/>
      <c r="P5" s="115"/>
      <c r="Q5" s="115"/>
    </row>
    <row r="6" spans="1:18" ht="12" customHeight="1" x14ac:dyDescent="0.2">
      <c r="A6" s="9" t="s">
        <v>5</v>
      </c>
      <c r="B6" s="12">
        <f>Header!$E$5</f>
        <v>45885</v>
      </c>
      <c r="C6" s="8"/>
      <c r="D6" s="8"/>
      <c r="E6" s="116" t="s">
        <v>16</v>
      </c>
      <c r="F6" s="116"/>
      <c r="G6" s="116"/>
      <c r="H6" s="116"/>
    </row>
    <row r="7" spans="1:18" ht="12" customHeight="1" thickBot="1" x14ac:dyDescent="0.25">
      <c r="A7" s="11"/>
      <c r="B7" s="8"/>
      <c r="C7" s="8"/>
      <c r="D7" s="8"/>
      <c r="E7" s="117"/>
      <c r="F7" s="117"/>
      <c r="G7" s="117"/>
      <c r="H7" s="117"/>
    </row>
    <row r="8" spans="1:18" ht="45.75" thickBot="1" x14ac:dyDescent="0.25">
      <c r="A8" s="32" t="s">
        <v>17</v>
      </c>
      <c r="B8" s="33" t="s">
        <v>18</v>
      </c>
      <c r="C8" s="33" t="s">
        <v>19</v>
      </c>
      <c r="D8" s="33" t="s">
        <v>20</v>
      </c>
      <c r="E8" s="19" t="s">
        <v>36</v>
      </c>
      <c r="F8" s="16" t="s">
        <v>22</v>
      </c>
      <c r="G8" s="17" t="s">
        <v>23</v>
      </c>
      <c r="H8" s="18" t="s">
        <v>24</v>
      </c>
      <c r="J8" s="32" t="s">
        <v>25</v>
      </c>
      <c r="K8" s="33" t="s">
        <v>3</v>
      </c>
      <c r="L8" s="33" t="s">
        <v>26</v>
      </c>
      <c r="M8" s="33" t="s">
        <v>27</v>
      </c>
      <c r="N8" s="34" t="s">
        <v>28</v>
      </c>
      <c r="O8" s="34" t="s">
        <v>29</v>
      </c>
      <c r="P8" s="34" t="s">
        <v>30</v>
      </c>
      <c r="R8" s="90" t="s">
        <v>511</v>
      </c>
    </row>
    <row r="9" spans="1:18" ht="15.75" thickBot="1" x14ac:dyDescent="0.25">
      <c r="A9" s="45">
        <v>45876</v>
      </c>
      <c r="B9" s="45" t="s">
        <v>345</v>
      </c>
      <c r="C9" s="46">
        <v>627.29999999999995</v>
      </c>
      <c r="D9" s="46"/>
      <c r="E9" s="14" t="s">
        <v>522</v>
      </c>
      <c r="F9" s="49">
        <v>1074</v>
      </c>
      <c r="G9" s="14" t="s">
        <v>346</v>
      </c>
      <c r="H9" s="15"/>
      <c r="J9" s="51" t="str">
        <f t="shared" ref="J9:J10" si="0">IF(F9&gt;0,(_xlfn.CONCAT(F9,".",G9)),H9)</f>
        <v>1074.PERM</v>
      </c>
      <c r="K9" s="52" t="str">
        <f>_xlfn.CONCAT("MTrenorden-",(LEFT(B9,15)),"-",E9)</f>
        <v>MTrenorden-CONSUMER AFFAIR-Professional Engineer Reg-Vic</v>
      </c>
      <c r="L9" s="52" t="s">
        <v>32</v>
      </c>
      <c r="M9" s="53">
        <f>IF(C9&gt;0,C9,-D9)</f>
        <v>627.29999999999995</v>
      </c>
      <c r="N9" s="54" t="s">
        <v>33</v>
      </c>
      <c r="O9" s="44"/>
      <c r="P9" s="55"/>
      <c r="Q9" t="s">
        <v>34</v>
      </c>
      <c r="R9" s="21">
        <f>LEN(K9)</f>
        <v>56</v>
      </c>
    </row>
    <row r="10" spans="1:18" ht="15.75" thickBot="1" x14ac:dyDescent="0.25">
      <c r="A10" s="47">
        <v>45874</v>
      </c>
      <c r="B10" s="47" t="s">
        <v>347</v>
      </c>
      <c r="C10" s="48">
        <v>256</v>
      </c>
      <c r="D10" s="48"/>
      <c r="E10" s="13" t="s">
        <v>523</v>
      </c>
      <c r="F10" s="49">
        <v>1074</v>
      </c>
      <c r="G10" s="13" t="s">
        <v>346</v>
      </c>
      <c r="H10" s="50"/>
      <c r="J10" s="51" t="str">
        <f t="shared" si="0"/>
        <v>1074.PERM</v>
      </c>
      <c r="K10" s="52" t="str">
        <f t="shared" ref="K10:K11" si="1">_xlfn.CONCAT("MTrenorden-",(LEFT(B10,15)),"-",E10)</f>
        <v>MTrenorden-FUTURE ENERGY S-REL Class 2 Assmt -  Max J</v>
      </c>
      <c r="L10" s="52" t="s">
        <v>32</v>
      </c>
      <c r="M10" s="53">
        <f t="shared" ref="M10:M11" si="2">IF(C10&gt;0,C10,-D10)</f>
        <v>256</v>
      </c>
      <c r="N10" s="54" t="s">
        <v>33</v>
      </c>
      <c r="O10" s="44"/>
      <c r="P10" s="54"/>
      <c r="R10" s="21">
        <f t="shared" ref="R10:R30" si="3">LEN(K10)</f>
        <v>53</v>
      </c>
    </row>
    <row r="11" spans="1:18" ht="15.75" thickBot="1" x14ac:dyDescent="0.25">
      <c r="A11" s="47">
        <v>45860</v>
      </c>
      <c r="B11" s="47" t="s">
        <v>347</v>
      </c>
      <c r="C11" s="48">
        <v>256</v>
      </c>
      <c r="D11" s="48"/>
      <c r="E11" s="13" t="s">
        <v>524</v>
      </c>
      <c r="F11" s="49">
        <v>1058</v>
      </c>
      <c r="G11" s="50" t="s">
        <v>346</v>
      </c>
      <c r="H11" s="13"/>
      <c r="J11" s="51" t="str">
        <f>IF(F11&gt;0,(_xlfn.CONCAT(F11,".",G11)),H11)</f>
        <v>1058.PERM</v>
      </c>
      <c r="K11" s="52" t="str">
        <f t="shared" si="1"/>
        <v>MTrenorden-FUTURE ENERGY S-REL Class 2 Assmt -  Harry L</v>
      </c>
      <c r="L11" s="52" t="s">
        <v>32</v>
      </c>
      <c r="M11" s="53">
        <f t="shared" si="2"/>
        <v>256</v>
      </c>
      <c r="N11" s="54" t="s">
        <v>33</v>
      </c>
      <c r="O11" s="44"/>
      <c r="P11" s="54"/>
      <c r="R11" s="21">
        <f t="shared" si="3"/>
        <v>55</v>
      </c>
    </row>
    <row r="12" spans="1:18" ht="15.75" thickBot="1" x14ac:dyDescent="0.25">
      <c r="A12" s="47"/>
      <c r="B12" s="47"/>
      <c r="C12" s="48"/>
      <c r="D12" s="48"/>
      <c r="E12" s="13"/>
      <c r="F12" s="13"/>
      <c r="G12" s="13"/>
      <c r="H12" s="50"/>
      <c r="J12" s="51"/>
      <c r="K12" s="52"/>
      <c r="L12" s="52"/>
      <c r="M12" s="53"/>
      <c r="N12" s="54"/>
      <c r="O12" s="44"/>
      <c r="P12" s="54"/>
      <c r="R12" s="21">
        <f t="shared" si="3"/>
        <v>0</v>
      </c>
    </row>
    <row r="13" spans="1:18" ht="15.75" thickBot="1" x14ac:dyDescent="0.25">
      <c r="A13" s="47"/>
      <c r="B13" s="47"/>
      <c r="C13" s="48"/>
      <c r="D13" s="48"/>
      <c r="E13" s="13"/>
      <c r="F13" s="13"/>
      <c r="G13" s="13"/>
      <c r="H13" s="13"/>
      <c r="J13" s="51"/>
      <c r="K13" s="52"/>
      <c r="L13" s="52"/>
      <c r="M13" s="53"/>
      <c r="N13" s="54"/>
      <c r="O13" s="44"/>
      <c r="P13" s="54"/>
      <c r="R13" s="21">
        <f t="shared" si="3"/>
        <v>0</v>
      </c>
    </row>
    <row r="14" spans="1:18" ht="15.75" thickBot="1" x14ac:dyDescent="0.25">
      <c r="A14" s="47"/>
      <c r="B14" s="47"/>
      <c r="C14" s="48"/>
      <c r="D14" s="48"/>
      <c r="E14" s="13"/>
      <c r="F14" s="13"/>
      <c r="G14" s="13"/>
      <c r="H14" s="13"/>
      <c r="J14" s="51"/>
      <c r="K14" s="52"/>
      <c r="L14" s="52"/>
      <c r="M14" s="53"/>
      <c r="N14" s="54"/>
      <c r="O14" s="44"/>
      <c r="P14" s="54"/>
      <c r="R14" s="21">
        <f t="shared" si="3"/>
        <v>0</v>
      </c>
    </row>
    <row r="15" spans="1:18" ht="15.75" thickBot="1" x14ac:dyDescent="0.25">
      <c r="A15" s="47"/>
      <c r="B15" s="47"/>
      <c r="C15" s="48"/>
      <c r="D15" s="48"/>
      <c r="E15" s="13"/>
      <c r="F15" s="13"/>
      <c r="G15" s="13"/>
      <c r="H15" s="13"/>
      <c r="J15" s="51"/>
      <c r="K15" s="52"/>
      <c r="L15" s="52"/>
      <c r="M15" s="53"/>
      <c r="N15" s="54"/>
      <c r="O15" s="44"/>
      <c r="P15" s="54"/>
      <c r="R15" s="21">
        <f t="shared" si="3"/>
        <v>0</v>
      </c>
    </row>
    <row r="16" spans="1:18" ht="15.75" thickBot="1" x14ac:dyDescent="0.25">
      <c r="A16" s="47"/>
      <c r="B16" s="47"/>
      <c r="C16" s="48"/>
      <c r="D16" s="48"/>
      <c r="E16" s="13"/>
      <c r="F16" s="13"/>
      <c r="G16" s="13"/>
      <c r="H16" s="13"/>
      <c r="J16" s="51"/>
      <c r="K16" s="52"/>
      <c r="L16" s="52"/>
      <c r="M16" s="53"/>
      <c r="N16" s="54"/>
      <c r="O16" s="44"/>
      <c r="P16" s="54"/>
      <c r="R16" s="21">
        <f t="shared" si="3"/>
        <v>0</v>
      </c>
    </row>
    <row r="17" spans="18:18" x14ac:dyDescent="0.2">
      <c r="R17" s="21">
        <f t="shared" si="3"/>
        <v>0</v>
      </c>
    </row>
    <row r="18" spans="18:18" x14ac:dyDescent="0.2">
      <c r="R18" s="21">
        <f t="shared" si="3"/>
        <v>0</v>
      </c>
    </row>
    <row r="19" spans="18:18" x14ac:dyDescent="0.2">
      <c r="R19" s="21">
        <f t="shared" si="3"/>
        <v>0</v>
      </c>
    </row>
    <row r="20" spans="18:18" x14ac:dyDescent="0.2">
      <c r="R20" s="21">
        <f t="shared" si="3"/>
        <v>0</v>
      </c>
    </row>
    <row r="21" spans="18:18" x14ac:dyDescent="0.2">
      <c r="R21" s="21">
        <f t="shared" si="3"/>
        <v>0</v>
      </c>
    </row>
    <row r="22" spans="18:18" x14ac:dyDescent="0.2">
      <c r="R22" s="21">
        <f t="shared" si="3"/>
        <v>0</v>
      </c>
    </row>
    <row r="23" spans="18:18" x14ac:dyDescent="0.2">
      <c r="R23" s="21">
        <f t="shared" si="3"/>
        <v>0</v>
      </c>
    </row>
    <row r="24" spans="18:18" x14ac:dyDescent="0.2">
      <c r="R24" s="21">
        <f t="shared" si="3"/>
        <v>0</v>
      </c>
    </row>
    <row r="25" spans="18:18" x14ac:dyDescent="0.2">
      <c r="R25" s="21">
        <f t="shared" si="3"/>
        <v>0</v>
      </c>
    </row>
    <row r="26" spans="18:18" x14ac:dyDescent="0.2">
      <c r="R26" s="21">
        <f t="shared" si="3"/>
        <v>0</v>
      </c>
    </row>
    <row r="27" spans="18:18" x14ac:dyDescent="0.2">
      <c r="R27" s="21">
        <f t="shared" si="3"/>
        <v>0</v>
      </c>
    </row>
    <row r="28" spans="18:18" x14ac:dyDescent="0.2">
      <c r="R28" s="21">
        <f t="shared" si="3"/>
        <v>0</v>
      </c>
    </row>
    <row r="29" spans="18:18" x14ac:dyDescent="0.2">
      <c r="R29" s="21">
        <f t="shared" si="3"/>
        <v>0</v>
      </c>
    </row>
    <row r="30" spans="18:18" x14ac:dyDescent="0.2">
      <c r="R30" s="21">
        <f t="shared" si="3"/>
        <v>0</v>
      </c>
    </row>
  </sheetData>
  <mergeCells count="5">
    <mergeCell ref="J1:P1"/>
    <mergeCell ref="A4:H4"/>
    <mergeCell ref="J5:Q5"/>
    <mergeCell ref="E6:H7"/>
    <mergeCell ref="A1:H3"/>
  </mergeCells>
  <conditionalFormatting sqref="B16:B48">
    <cfRule type="cellIs" dxfId="3" priority="1" operator="lessThan">
      <formula>0</formula>
    </cfRule>
  </conditionalFormatting>
  <dataValidations count="1">
    <dataValidation type="list" allowBlank="1" showInputMessage="1" showErrorMessage="1" sqref="C16:C48" xr:uid="{B258439A-4FF9-4DB8-8385-1327D57A1944}">
      <formula1>"GST 10%, GST FREE"</formula1>
    </dataValidation>
  </dataValidation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B7BE3-31DA-4633-8C7A-09894AD3249B}">
  <sheetPr>
    <tabColor theme="9" tint="0.79998168889431442"/>
  </sheetPr>
  <dimension ref="A1:R30"/>
  <sheetViews>
    <sheetView topLeftCell="C1" workbookViewId="0">
      <selection activeCell="J9" sqref="J9:P15"/>
    </sheetView>
  </sheetViews>
  <sheetFormatPr defaultRowHeight="12.75" x14ac:dyDescent="0.2"/>
  <cols>
    <col min="1" max="1" width="17.42578125" style="3" customWidth="1"/>
    <col min="2" max="2" width="47.42578125" customWidth="1"/>
    <col min="3" max="3" width="13.5703125" customWidth="1"/>
    <col min="4" max="4" width="16.42578125" customWidth="1"/>
    <col min="5" max="5" width="26.140625" customWidth="1"/>
    <col min="6" max="6" width="15.28515625" bestFit="1" customWidth="1"/>
    <col min="7" max="7" width="13.42578125" bestFit="1" customWidth="1"/>
    <col min="8" max="8" width="15.5703125" customWidth="1"/>
    <col min="9" max="9" width="2.42578125" customWidth="1"/>
    <col min="10" max="10" width="21.85546875" bestFit="1" customWidth="1"/>
    <col min="11" max="11" width="50" bestFit="1" customWidth="1"/>
    <col min="12" max="12" width="4" bestFit="1" customWidth="1"/>
    <col min="15" max="15" width="21.42578125" customWidth="1"/>
    <col min="16" max="16" width="15.85546875" customWidth="1"/>
  </cols>
  <sheetData>
    <row r="1" spans="1:18" ht="12" customHeight="1" x14ac:dyDescent="0.2">
      <c r="A1" s="118" t="s">
        <v>12</v>
      </c>
      <c r="B1" s="119"/>
      <c r="C1" s="119"/>
      <c r="D1" s="119"/>
      <c r="E1" s="119"/>
      <c r="F1" s="119"/>
      <c r="G1" s="119"/>
      <c r="H1" s="119"/>
      <c r="J1" s="113" t="s">
        <v>13</v>
      </c>
      <c r="K1" s="113"/>
      <c r="L1" s="113"/>
      <c r="M1" s="113"/>
      <c r="N1" s="113"/>
      <c r="O1" s="113"/>
      <c r="P1" s="113"/>
    </row>
    <row r="2" spans="1:18" ht="12" customHeight="1" x14ac:dyDescent="0.2">
      <c r="A2" s="118"/>
      <c r="B2" s="119"/>
      <c r="C2" s="119"/>
      <c r="D2" s="119"/>
      <c r="E2" s="119"/>
      <c r="F2" s="119"/>
      <c r="G2" s="119"/>
      <c r="H2" s="119"/>
      <c r="J2" s="74" t="s">
        <v>508</v>
      </c>
      <c r="K2" s="88">
        <v>1307.78</v>
      </c>
      <c r="L2" s="74"/>
      <c r="M2" s="74"/>
      <c r="N2" s="74"/>
      <c r="O2" s="74"/>
      <c r="P2" s="74"/>
    </row>
    <row r="3" spans="1:18" ht="12" customHeight="1" x14ac:dyDescent="0.2">
      <c r="A3" s="118"/>
      <c r="B3" s="119"/>
      <c r="C3" s="119"/>
      <c r="D3" s="119"/>
      <c r="E3" s="119"/>
      <c r="F3" s="119"/>
      <c r="G3" s="119"/>
      <c r="H3" s="119"/>
      <c r="J3" t="s">
        <v>509</v>
      </c>
      <c r="K3" s="21">
        <f>SUM(M9:M144)</f>
        <v>1307.78</v>
      </c>
      <c r="L3" s="74"/>
      <c r="M3" s="74"/>
      <c r="N3" s="74"/>
      <c r="O3" s="74"/>
      <c r="P3" s="74"/>
    </row>
    <row r="4" spans="1:18" ht="12" customHeight="1" x14ac:dyDescent="0.2">
      <c r="A4" s="114" t="s">
        <v>348</v>
      </c>
      <c r="B4" s="113"/>
      <c r="C4" s="113"/>
      <c r="D4" s="113"/>
      <c r="E4" s="113"/>
      <c r="F4" s="113"/>
      <c r="G4" s="113"/>
      <c r="H4" s="113"/>
      <c r="J4" t="s">
        <v>510</v>
      </c>
      <c r="K4" s="21">
        <f>K2-K3</f>
        <v>0</v>
      </c>
    </row>
    <row r="5" spans="1:18" ht="12" customHeight="1" x14ac:dyDescent="0.2">
      <c r="A5" s="9" t="s">
        <v>3</v>
      </c>
      <c r="B5" s="10" t="str">
        <f>CONCATENATE(Header!$E$4,"VanKollenburg")</f>
        <v>MC-250816VanKollenburg</v>
      </c>
      <c r="C5" s="8"/>
      <c r="D5" s="8"/>
      <c r="E5" s="8"/>
      <c r="J5" s="115" t="s">
        <v>15</v>
      </c>
      <c r="K5" s="115"/>
      <c r="L5" s="115"/>
      <c r="M5" s="115"/>
      <c r="N5" s="115"/>
      <c r="O5" s="115"/>
      <c r="P5" s="115"/>
      <c r="Q5" s="115"/>
    </row>
    <row r="6" spans="1:18" ht="12" customHeight="1" x14ac:dyDescent="0.2">
      <c r="A6" s="9" t="s">
        <v>5</v>
      </c>
      <c r="B6" s="12">
        <f>Header!$E$5</f>
        <v>45885</v>
      </c>
      <c r="C6" s="8"/>
      <c r="D6" s="8"/>
      <c r="E6" s="116" t="s">
        <v>16</v>
      </c>
      <c r="F6" s="116"/>
      <c r="G6" s="116"/>
      <c r="H6" s="116"/>
    </row>
    <row r="7" spans="1:18" ht="12" customHeight="1" thickBot="1" x14ac:dyDescent="0.25">
      <c r="A7" s="11"/>
      <c r="B7" s="8"/>
      <c r="C7" s="8"/>
      <c r="D7" s="8"/>
      <c r="E7" s="117"/>
      <c r="F7" s="117"/>
      <c r="G7" s="117"/>
      <c r="H7" s="117"/>
    </row>
    <row r="8" spans="1:18" ht="45.75" thickBot="1" x14ac:dyDescent="0.25">
      <c r="A8" s="32" t="s">
        <v>17</v>
      </c>
      <c r="B8" s="33" t="s">
        <v>18</v>
      </c>
      <c r="C8" s="33" t="s">
        <v>19</v>
      </c>
      <c r="D8" s="33" t="s">
        <v>20</v>
      </c>
      <c r="E8" s="19" t="s">
        <v>36</v>
      </c>
      <c r="F8" s="16" t="s">
        <v>22</v>
      </c>
      <c r="G8" s="17" t="s">
        <v>23</v>
      </c>
      <c r="H8" s="18" t="s">
        <v>24</v>
      </c>
      <c r="J8" s="32" t="s">
        <v>25</v>
      </c>
      <c r="K8" s="33" t="s">
        <v>3</v>
      </c>
      <c r="L8" s="33" t="s">
        <v>26</v>
      </c>
      <c r="M8" s="33" t="s">
        <v>27</v>
      </c>
      <c r="N8" s="34" t="s">
        <v>28</v>
      </c>
      <c r="O8" s="34" t="s">
        <v>29</v>
      </c>
      <c r="P8" s="34" t="s">
        <v>30</v>
      </c>
      <c r="R8" s="90" t="s">
        <v>511</v>
      </c>
    </row>
    <row r="9" spans="1:18" ht="15.75" thickBot="1" x14ac:dyDescent="0.25">
      <c r="A9" s="45">
        <v>45881</v>
      </c>
      <c r="B9" s="45" t="s">
        <v>349</v>
      </c>
      <c r="C9" s="46">
        <v>27.6</v>
      </c>
      <c r="D9" s="46"/>
      <c r="E9" s="14" t="s">
        <v>350</v>
      </c>
      <c r="F9" s="49">
        <v>1073</v>
      </c>
      <c r="G9" s="14" t="s">
        <v>351</v>
      </c>
      <c r="H9" s="15"/>
      <c r="J9" s="51" t="str">
        <f t="shared" ref="J9:J15" si="0">IF(F9&gt;0,(_xlfn.CONCAT(F9,".",G9)),H9)</f>
        <v>1073.CONS</v>
      </c>
      <c r="K9" s="52" t="str">
        <f>_xlfn.CONCAT("L VKburg-",(LEFT(B9,15)),"-",E9)</f>
        <v>L VKburg-GB FASTENERS AL-touch up paint</v>
      </c>
      <c r="L9" s="52" t="s">
        <v>32</v>
      </c>
      <c r="M9" s="53">
        <f>IF(C9&gt;0,C9,-D9)</f>
        <v>27.6</v>
      </c>
      <c r="N9" s="54" t="s">
        <v>33</v>
      </c>
      <c r="O9" s="44"/>
      <c r="P9" s="55"/>
      <c r="Q9" t="s">
        <v>34</v>
      </c>
      <c r="R9" s="21">
        <f>LEN(K9)</f>
        <v>39</v>
      </c>
    </row>
    <row r="10" spans="1:18" ht="15.75" thickBot="1" x14ac:dyDescent="0.25">
      <c r="A10" s="47">
        <v>45868</v>
      </c>
      <c r="B10" s="47" t="s">
        <v>349</v>
      </c>
      <c r="C10" s="48">
        <v>51.98</v>
      </c>
      <c r="D10" s="48"/>
      <c r="E10" s="13" t="s">
        <v>352</v>
      </c>
      <c r="F10" s="49">
        <v>1073</v>
      </c>
      <c r="G10" s="50" t="s">
        <v>351</v>
      </c>
      <c r="H10" s="50"/>
      <c r="J10" s="51" t="str">
        <f>IF(F10&gt;0,(_xlfn.CONCAT(F10,".",G10)),H10)</f>
        <v>1073.CONS</v>
      </c>
      <c r="K10" s="52" t="str">
        <f t="shared" ref="K10:K15" si="1">_xlfn.CONCAT("L VKburg-",(LEFT(B10,15)),"-",E10)</f>
        <v>L VKburg-GB FASTENERS AL-dyna bolts for workshop</v>
      </c>
      <c r="L10" s="52" t="s">
        <v>32</v>
      </c>
      <c r="M10" s="53">
        <f t="shared" ref="M10:M15" si="2">IF(C10&gt;0,C10,-D10)</f>
        <v>51.98</v>
      </c>
      <c r="N10" s="54" t="s">
        <v>33</v>
      </c>
      <c r="O10" s="44"/>
      <c r="P10" s="54"/>
      <c r="R10" s="21">
        <f t="shared" ref="R10:R30" si="3">LEN(K10)</f>
        <v>48</v>
      </c>
    </row>
    <row r="11" spans="1:18" ht="15.75" thickBot="1" x14ac:dyDescent="0.25">
      <c r="A11" s="47">
        <v>45856</v>
      </c>
      <c r="B11" s="47" t="s">
        <v>79</v>
      </c>
      <c r="C11" s="48">
        <v>119.45</v>
      </c>
      <c r="D11" s="48"/>
      <c r="E11" s="13" t="s">
        <v>353</v>
      </c>
      <c r="F11" s="50">
        <v>1073</v>
      </c>
      <c r="G11" s="50" t="s">
        <v>234</v>
      </c>
      <c r="H11" s="13"/>
      <c r="J11" s="51" t="str">
        <f>IF(F11&gt;0,(_xlfn.CONCAT(F11,".",G11)),H11)</f>
        <v>1073.TOOL</v>
      </c>
      <c r="K11" s="52" t="str">
        <f t="shared" si="1"/>
        <v>L VKburg-TOTAL TOOLS BAL-tools for the workshop</v>
      </c>
      <c r="L11" s="52" t="s">
        <v>32</v>
      </c>
      <c r="M11" s="53">
        <f t="shared" si="2"/>
        <v>119.45</v>
      </c>
      <c r="N11" s="54" t="s">
        <v>33</v>
      </c>
      <c r="O11" s="44"/>
      <c r="P11" s="54"/>
      <c r="R11" s="21">
        <f t="shared" si="3"/>
        <v>47</v>
      </c>
    </row>
    <row r="12" spans="1:18" ht="15.75" thickBot="1" x14ac:dyDescent="0.25">
      <c r="A12" s="47">
        <v>45855</v>
      </c>
      <c r="B12" s="47" t="s">
        <v>354</v>
      </c>
      <c r="C12" s="48">
        <v>98.64</v>
      </c>
      <c r="D12" s="48"/>
      <c r="E12" s="13" t="s">
        <v>355</v>
      </c>
      <c r="F12" s="50">
        <v>1073</v>
      </c>
      <c r="G12" s="50" t="s">
        <v>346</v>
      </c>
      <c r="H12" s="50"/>
      <c r="J12" s="51" t="str">
        <f t="shared" si="0"/>
        <v>1073.PERM</v>
      </c>
      <c r="K12" s="52" t="str">
        <f t="shared" si="1"/>
        <v>L VKburg-POST BALLARAT W-work safe licence fee</v>
      </c>
      <c r="L12" s="52" t="s">
        <v>32</v>
      </c>
      <c r="M12" s="53">
        <f t="shared" si="2"/>
        <v>98.64</v>
      </c>
      <c r="N12" s="54" t="s">
        <v>33</v>
      </c>
      <c r="O12" s="44"/>
      <c r="P12" s="54"/>
      <c r="R12" s="21">
        <f t="shared" si="3"/>
        <v>46</v>
      </c>
    </row>
    <row r="13" spans="1:18" ht="15.75" thickBot="1" x14ac:dyDescent="0.25">
      <c r="A13" s="47">
        <v>45855</v>
      </c>
      <c r="B13" s="47" t="s">
        <v>354</v>
      </c>
      <c r="C13" s="48">
        <v>98.64</v>
      </c>
      <c r="D13" s="48"/>
      <c r="E13" s="13" t="s">
        <v>355</v>
      </c>
      <c r="F13" s="50">
        <v>1073</v>
      </c>
      <c r="G13" s="13" t="s">
        <v>346</v>
      </c>
      <c r="H13" s="50"/>
      <c r="J13" s="51" t="str">
        <f t="shared" si="0"/>
        <v>1073.PERM</v>
      </c>
      <c r="K13" s="52" t="str">
        <f t="shared" si="1"/>
        <v>L VKburg-POST BALLARAT W-work safe licence fee</v>
      </c>
      <c r="L13" s="52" t="s">
        <v>32</v>
      </c>
      <c r="M13" s="53">
        <f t="shared" si="2"/>
        <v>98.64</v>
      </c>
      <c r="N13" s="54" t="s">
        <v>33</v>
      </c>
      <c r="O13" s="44"/>
      <c r="P13" s="54"/>
      <c r="R13" s="21">
        <f t="shared" si="3"/>
        <v>46</v>
      </c>
    </row>
    <row r="14" spans="1:18" ht="15.75" thickBot="1" x14ac:dyDescent="0.25">
      <c r="A14" s="47">
        <v>45855</v>
      </c>
      <c r="B14" s="47" t="s">
        <v>356</v>
      </c>
      <c r="C14" s="48"/>
      <c r="D14" s="48">
        <v>316</v>
      </c>
      <c r="E14" s="13" t="s">
        <v>357</v>
      </c>
      <c r="F14" s="13" t="s">
        <v>358</v>
      </c>
      <c r="G14" s="13" t="s">
        <v>359</v>
      </c>
      <c r="H14" s="13"/>
      <c r="J14" s="51" t="str">
        <f t="shared" si="0"/>
        <v>s12392-b.TRVP</v>
      </c>
      <c r="K14" s="52" t="str">
        <f t="shared" si="1"/>
        <v xml:space="preserve">L VKburg-CRED VOUCHER SP-credit for Jonty no longer </v>
      </c>
      <c r="L14" s="52" t="s">
        <v>32</v>
      </c>
      <c r="M14" s="53">
        <f t="shared" si="2"/>
        <v>-316</v>
      </c>
      <c r="N14" s="54" t="s">
        <v>33</v>
      </c>
      <c r="O14" s="44"/>
      <c r="P14" s="54" t="s">
        <v>502</v>
      </c>
      <c r="R14" s="21">
        <f t="shared" si="3"/>
        <v>52</v>
      </c>
    </row>
    <row r="15" spans="1:18" ht="15.75" thickBot="1" x14ac:dyDescent="0.25">
      <c r="A15" s="47">
        <v>45854</v>
      </c>
      <c r="B15" s="47" t="s">
        <v>360</v>
      </c>
      <c r="C15" s="48">
        <v>1227.47</v>
      </c>
      <c r="D15" s="48"/>
      <c r="E15" s="13" t="s">
        <v>361</v>
      </c>
      <c r="F15" s="13" t="s">
        <v>358</v>
      </c>
      <c r="G15" s="13" t="s">
        <v>359</v>
      </c>
      <c r="H15" s="13"/>
      <c r="J15" s="51" t="str">
        <f t="shared" si="0"/>
        <v>s12392-b.TRVP</v>
      </c>
      <c r="K15" s="52" t="str">
        <f t="shared" si="1"/>
        <v>L VKburg-SPIRIT OF TASMA-Travel to Rosebery</v>
      </c>
      <c r="L15" s="52" t="s">
        <v>32</v>
      </c>
      <c r="M15" s="53">
        <f t="shared" si="2"/>
        <v>1227.47</v>
      </c>
      <c r="N15" s="54" t="s">
        <v>33</v>
      </c>
      <c r="O15" s="44"/>
      <c r="P15" s="54" t="s">
        <v>502</v>
      </c>
      <c r="R15" s="21">
        <f t="shared" si="3"/>
        <v>43</v>
      </c>
    </row>
    <row r="16" spans="1:18" x14ac:dyDescent="0.2">
      <c r="R16" s="21">
        <f t="shared" si="3"/>
        <v>0</v>
      </c>
    </row>
    <row r="17" spans="18:18" x14ac:dyDescent="0.2">
      <c r="R17" s="21">
        <f t="shared" si="3"/>
        <v>0</v>
      </c>
    </row>
    <row r="18" spans="18:18" x14ac:dyDescent="0.2">
      <c r="R18" s="21">
        <f t="shared" si="3"/>
        <v>0</v>
      </c>
    </row>
    <row r="19" spans="18:18" x14ac:dyDescent="0.2">
      <c r="R19" s="21">
        <f t="shared" si="3"/>
        <v>0</v>
      </c>
    </row>
    <row r="20" spans="18:18" x14ac:dyDescent="0.2">
      <c r="R20" s="21">
        <f t="shared" si="3"/>
        <v>0</v>
      </c>
    </row>
    <row r="21" spans="18:18" x14ac:dyDescent="0.2">
      <c r="R21" s="21">
        <f t="shared" si="3"/>
        <v>0</v>
      </c>
    </row>
    <row r="22" spans="18:18" x14ac:dyDescent="0.2">
      <c r="R22" s="21">
        <f t="shared" si="3"/>
        <v>0</v>
      </c>
    </row>
    <row r="23" spans="18:18" x14ac:dyDescent="0.2">
      <c r="R23" s="21">
        <f t="shared" si="3"/>
        <v>0</v>
      </c>
    </row>
    <row r="24" spans="18:18" x14ac:dyDescent="0.2">
      <c r="R24" s="21">
        <f t="shared" si="3"/>
        <v>0</v>
      </c>
    </row>
    <row r="25" spans="18:18" x14ac:dyDescent="0.2">
      <c r="R25" s="21">
        <f t="shared" si="3"/>
        <v>0</v>
      </c>
    </row>
    <row r="26" spans="18:18" x14ac:dyDescent="0.2">
      <c r="R26" s="21">
        <f t="shared" si="3"/>
        <v>0</v>
      </c>
    </row>
    <row r="27" spans="18:18" x14ac:dyDescent="0.2">
      <c r="R27" s="21">
        <f t="shared" si="3"/>
        <v>0</v>
      </c>
    </row>
    <row r="28" spans="18:18" x14ac:dyDescent="0.2">
      <c r="R28" s="21">
        <f t="shared" si="3"/>
        <v>0</v>
      </c>
    </row>
    <row r="29" spans="18:18" x14ac:dyDescent="0.2">
      <c r="R29" s="21">
        <f t="shared" si="3"/>
        <v>0</v>
      </c>
    </row>
    <row r="30" spans="18:18" x14ac:dyDescent="0.2">
      <c r="R30" s="21">
        <f t="shared" si="3"/>
        <v>0</v>
      </c>
    </row>
  </sheetData>
  <mergeCells count="5">
    <mergeCell ref="J1:P1"/>
    <mergeCell ref="A4:H4"/>
    <mergeCell ref="J5:Q5"/>
    <mergeCell ref="E6:H7"/>
    <mergeCell ref="A1:H3"/>
  </mergeCells>
  <conditionalFormatting sqref="B16:B46">
    <cfRule type="cellIs" dxfId="2" priority="1" operator="lessThan">
      <formula>0</formula>
    </cfRule>
  </conditionalFormatting>
  <dataValidations count="1">
    <dataValidation type="list" allowBlank="1" showInputMessage="1" showErrorMessage="1" sqref="C16:C46" xr:uid="{57D12D44-ECA4-4CBD-9327-C4CB035ECB4F}">
      <formula1>"GST 10%, GST FREE"</formula1>
    </dataValidation>
  </dataValidation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CDD38-D9A8-4BEE-B26F-E1B1839544ED}">
  <sheetPr>
    <tabColor theme="9" tint="0.79998168889431442"/>
  </sheetPr>
  <dimension ref="A1:R48"/>
  <sheetViews>
    <sheetView tabSelected="1" workbookViewId="0">
      <selection activeCell="J3" sqref="J3"/>
    </sheetView>
  </sheetViews>
  <sheetFormatPr defaultRowHeight="12.75" x14ac:dyDescent="0.2"/>
  <cols>
    <col min="1" max="1" width="17.42578125" style="3" customWidth="1"/>
    <col min="2" max="2" width="47.42578125" customWidth="1"/>
    <col min="3" max="3" width="13.5703125" customWidth="1"/>
    <col min="4" max="4" width="16.42578125" customWidth="1"/>
    <col min="5" max="5" width="58.85546875" customWidth="1"/>
    <col min="6" max="6" width="14.140625" bestFit="1" customWidth="1"/>
    <col min="7" max="7" width="13.42578125" bestFit="1" customWidth="1"/>
    <col min="8" max="8" width="15.5703125" customWidth="1"/>
    <col min="9" max="9" width="2.42578125" customWidth="1"/>
    <col min="10" max="10" width="21.85546875" bestFit="1" customWidth="1"/>
    <col min="11" max="11" width="63" customWidth="1"/>
    <col min="12" max="12" width="4" bestFit="1" customWidth="1"/>
    <col min="15" max="15" width="21.42578125" customWidth="1"/>
    <col min="16" max="16" width="15.85546875" customWidth="1"/>
  </cols>
  <sheetData>
    <row r="1" spans="1:18" ht="12" customHeight="1" x14ac:dyDescent="0.2">
      <c r="A1" s="118" t="s">
        <v>12</v>
      </c>
      <c r="B1" s="119"/>
      <c r="C1" s="119"/>
      <c r="D1" s="119"/>
      <c r="E1" s="119"/>
      <c r="F1" s="119"/>
      <c r="G1" s="119"/>
      <c r="H1" s="119"/>
      <c r="J1" s="113" t="s">
        <v>13</v>
      </c>
      <c r="K1" s="113"/>
      <c r="L1" s="113"/>
      <c r="M1" s="113"/>
      <c r="N1" s="113"/>
      <c r="O1" s="113"/>
      <c r="P1" s="113"/>
    </row>
    <row r="2" spans="1:18" ht="12" customHeight="1" x14ac:dyDescent="0.2">
      <c r="A2" s="118"/>
      <c r="B2" s="119"/>
      <c r="C2" s="119"/>
      <c r="D2" s="119"/>
      <c r="E2" s="119"/>
      <c r="F2" s="119"/>
      <c r="G2" s="119"/>
      <c r="H2" s="119"/>
      <c r="J2" s="74" t="s">
        <v>508</v>
      </c>
      <c r="K2" s="88">
        <v>2095.52</v>
      </c>
      <c r="L2" s="74"/>
      <c r="M2" s="74"/>
      <c r="N2" s="74"/>
      <c r="O2" s="74"/>
      <c r="P2" s="74"/>
    </row>
    <row r="3" spans="1:18" ht="12" customHeight="1" x14ac:dyDescent="0.2">
      <c r="A3" s="118"/>
      <c r="B3" s="119"/>
      <c r="C3" s="119"/>
      <c r="D3" s="119"/>
      <c r="E3" s="119"/>
      <c r="F3" s="119"/>
      <c r="G3" s="119"/>
      <c r="H3" s="119"/>
      <c r="J3" t="s">
        <v>509</v>
      </c>
      <c r="K3" s="21">
        <f>SUM(M9:M144)</f>
        <v>2095.5199999999995</v>
      </c>
      <c r="L3" s="74"/>
      <c r="M3" s="74"/>
      <c r="N3" s="74"/>
      <c r="O3" s="74"/>
      <c r="P3" s="74"/>
    </row>
    <row r="4" spans="1:18" ht="12" customHeight="1" x14ac:dyDescent="0.2">
      <c r="J4" t="s">
        <v>510</v>
      </c>
      <c r="K4" s="21">
        <f>K2-K3</f>
        <v>0</v>
      </c>
    </row>
    <row r="5" spans="1:18" ht="12" customHeight="1" x14ac:dyDescent="0.2">
      <c r="A5" s="114" t="s">
        <v>362</v>
      </c>
      <c r="B5" s="113"/>
      <c r="C5" s="113"/>
      <c r="D5" s="113"/>
      <c r="E5" s="113"/>
      <c r="F5" s="113"/>
      <c r="G5" s="113"/>
      <c r="H5" s="113"/>
    </row>
    <row r="6" spans="1:18" ht="12" customHeight="1" x14ac:dyDescent="0.2">
      <c r="A6" s="9" t="s">
        <v>3</v>
      </c>
      <c r="B6" s="10" t="str">
        <f>CONCATENATE([1]Header!$E$4,"Wraith")</f>
        <v>MC-250816Wraith</v>
      </c>
      <c r="C6" s="8"/>
      <c r="D6" s="8"/>
      <c r="E6" s="8"/>
      <c r="J6" s="115" t="s">
        <v>15</v>
      </c>
      <c r="K6" s="115"/>
      <c r="L6" s="115"/>
      <c r="M6" s="115"/>
      <c r="N6" s="115"/>
      <c r="O6" s="115"/>
      <c r="P6" s="115"/>
      <c r="Q6" s="115"/>
    </row>
    <row r="7" spans="1:18" ht="12" customHeight="1" x14ac:dyDescent="0.2">
      <c r="A7" s="9" t="s">
        <v>5</v>
      </c>
      <c r="B7" s="12">
        <f>[1]Header!$E$5</f>
        <v>45885</v>
      </c>
      <c r="C7" s="8"/>
      <c r="D7" s="8"/>
      <c r="E7" s="116" t="s">
        <v>16</v>
      </c>
      <c r="F7" s="116"/>
      <c r="G7" s="116"/>
      <c r="H7" s="116"/>
    </row>
    <row r="8" spans="1:18" ht="13.5" thickBot="1" x14ac:dyDescent="0.25">
      <c r="A8" s="11"/>
      <c r="B8" s="8"/>
      <c r="C8" s="8"/>
      <c r="D8" s="8"/>
      <c r="E8" s="117"/>
      <c r="F8" s="117"/>
      <c r="G8" s="117"/>
      <c r="H8" s="117"/>
    </row>
    <row r="9" spans="1:18" ht="45.75" thickBot="1" x14ac:dyDescent="0.25">
      <c r="A9" s="32" t="s">
        <v>17</v>
      </c>
      <c r="B9" s="33" t="s">
        <v>18</v>
      </c>
      <c r="C9" s="33" t="s">
        <v>19</v>
      </c>
      <c r="D9" s="33" t="s">
        <v>20</v>
      </c>
      <c r="E9" s="19" t="s">
        <v>36</v>
      </c>
      <c r="F9" s="16" t="s">
        <v>22</v>
      </c>
      <c r="G9" s="17" t="s">
        <v>23</v>
      </c>
      <c r="H9" s="18" t="s">
        <v>24</v>
      </c>
      <c r="J9" s="32" t="s">
        <v>25</v>
      </c>
      <c r="K9" s="33" t="s">
        <v>3</v>
      </c>
      <c r="L9" s="33" t="s">
        <v>26</v>
      </c>
      <c r="M9" s="33" t="s">
        <v>27</v>
      </c>
      <c r="N9" s="34" t="s">
        <v>28</v>
      </c>
      <c r="O9" s="34" t="s">
        <v>29</v>
      </c>
      <c r="P9" s="34" t="s">
        <v>30</v>
      </c>
      <c r="R9" s="90" t="s">
        <v>511</v>
      </c>
    </row>
    <row r="10" spans="1:18" ht="15.75" thickBot="1" x14ac:dyDescent="0.25">
      <c r="A10" s="45">
        <v>45854</v>
      </c>
      <c r="B10" s="45" t="s">
        <v>525</v>
      </c>
      <c r="C10" s="46">
        <v>44</v>
      </c>
      <c r="D10" s="46"/>
      <c r="E10" s="14" t="s">
        <v>363</v>
      </c>
      <c r="F10" s="49">
        <v>1041</v>
      </c>
      <c r="G10" s="14" t="s">
        <v>364</v>
      </c>
      <c r="H10" s="15"/>
      <c r="J10" s="51" t="str">
        <f t="shared" ref="J10:J16" si="0">IF(F10&gt;0,(_xlfn.CONCAT(F10,".",G10)),H10)</f>
        <v>1041.CONF</v>
      </c>
      <c r="K10" s="52" t="str">
        <f>_xlfn.CONCAT("BWraith-",(LEFT(B10,15)),"-",E10)</f>
        <v>BWraith-austmine-Registration for industry event</v>
      </c>
      <c r="L10" s="52" t="s">
        <v>32</v>
      </c>
      <c r="M10" s="53">
        <f>IF(C10&gt;0,C10,-D10)</f>
        <v>44</v>
      </c>
      <c r="N10" s="54" t="s">
        <v>33</v>
      </c>
      <c r="O10" s="44"/>
      <c r="P10" s="55"/>
      <c r="Q10" t="s">
        <v>34</v>
      </c>
      <c r="R10" s="21">
        <f>LEN(K10)</f>
        <v>48</v>
      </c>
    </row>
    <row r="11" spans="1:18" ht="15.75" thickBot="1" x14ac:dyDescent="0.25">
      <c r="A11" s="47">
        <v>45860</v>
      </c>
      <c r="B11" s="47" t="s">
        <v>526</v>
      </c>
      <c r="C11" s="48">
        <v>83.33</v>
      </c>
      <c r="D11" s="48"/>
      <c r="E11" s="13" t="s">
        <v>365</v>
      </c>
      <c r="F11" s="13" t="s">
        <v>366</v>
      </c>
      <c r="G11" s="13" t="s">
        <v>367</v>
      </c>
      <c r="H11" s="50"/>
      <c r="J11" s="51" t="str">
        <f t="shared" si="0"/>
        <v>G077.SALP</v>
      </c>
      <c r="K11" s="52" t="str">
        <f t="shared" ref="K11:K38" si="1">_xlfn.CONCAT("BWraith-",(LEFT(B11,15)),"-",E11)</f>
        <v>BWraith-melbourne taxi-Travel home from industry event</v>
      </c>
      <c r="L11" s="52" t="s">
        <v>32</v>
      </c>
      <c r="M11" s="53">
        <f t="shared" ref="M11:M16" si="2">IF(C11&gt;0,C11,-D11)</f>
        <v>83.33</v>
      </c>
      <c r="N11" s="54" t="s">
        <v>33</v>
      </c>
      <c r="O11" s="44"/>
      <c r="P11" s="54"/>
      <c r="R11" s="21">
        <f t="shared" ref="R11:R38" si="3">LEN(K11)</f>
        <v>54</v>
      </c>
    </row>
    <row r="12" spans="1:18" ht="15.75" thickBot="1" x14ac:dyDescent="0.25">
      <c r="A12" s="47">
        <v>45870</v>
      </c>
      <c r="B12" s="47" t="s">
        <v>527</v>
      </c>
      <c r="C12" s="48">
        <v>70.06</v>
      </c>
      <c r="D12" s="48"/>
      <c r="E12" s="13" t="s">
        <v>369</v>
      </c>
      <c r="F12" s="13" t="s">
        <v>366</v>
      </c>
      <c r="G12" s="50" t="s">
        <v>367</v>
      </c>
      <c r="H12" s="13"/>
      <c r="J12" s="51" t="str">
        <f>IF(F12&gt;0,(_xlfn.CONCAT(F12,".",G12)),H12)</f>
        <v>G077.SALP</v>
      </c>
      <c r="K12" s="52" t="str">
        <f t="shared" si="1"/>
        <v>BWraith-didi mobility-Travel to airport for Diggers and Dealers Conference</v>
      </c>
      <c r="L12" s="52" t="s">
        <v>32</v>
      </c>
      <c r="M12" s="53">
        <f t="shared" si="2"/>
        <v>70.06</v>
      </c>
      <c r="N12" s="54" t="s">
        <v>33</v>
      </c>
      <c r="O12" s="44"/>
      <c r="P12" s="54"/>
      <c r="R12" s="21">
        <f t="shared" si="3"/>
        <v>74</v>
      </c>
    </row>
    <row r="13" spans="1:18" ht="15.75" thickBot="1" x14ac:dyDescent="0.25">
      <c r="A13" s="47">
        <v>45870</v>
      </c>
      <c r="B13" s="47" t="s">
        <v>528</v>
      </c>
      <c r="C13" s="48">
        <v>94</v>
      </c>
      <c r="D13" s="48"/>
      <c r="E13" s="13" t="s">
        <v>543</v>
      </c>
      <c r="F13" s="13" t="s">
        <v>366</v>
      </c>
      <c r="G13" s="13" t="s">
        <v>367</v>
      </c>
      <c r="H13" s="50"/>
      <c r="J13" s="51" t="str">
        <f t="shared" si="0"/>
        <v>G077.SALP</v>
      </c>
      <c r="K13" s="52" t="str">
        <f t="shared" si="1"/>
        <v>BWraith-perth soccer-Entertain Lycopodium Jeans for Genes Event</v>
      </c>
      <c r="L13" s="52" t="s">
        <v>32</v>
      </c>
      <c r="M13" s="53">
        <f t="shared" si="2"/>
        <v>94</v>
      </c>
      <c r="N13" s="54" t="s">
        <v>33</v>
      </c>
      <c r="O13" s="44"/>
      <c r="P13" s="54"/>
      <c r="R13" s="21">
        <f t="shared" si="3"/>
        <v>63</v>
      </c>
    </row>
    <row r="14" spans="1:18" ht="15.75" thickBot="1" x14ac:dyDescent="0.25">
      <c r="A14" s="47">
        <v>45870</v>
      </c>
      <c r="B14" s="47" t="s">
        <v>528</v>
      </c>
      <c r="C14" s="48">
        <v>42</v>
      </c>
      <c r="D14" s="48"/>
      <c r="E14" s="13" t="s">
        <v>543</v>
      </c>
      <c r="F14" s="13" t="s">
        <v>366</v>
      </c>
      <c r="G14" s="13" t="s">
        <v>367</v>
      </c>
      <c r="H14" s="13"/>
      <c r="J14" s="51" t="str">
        <f t="shared" si="0"/>
        <v>G077.SALP</v>
      </c>
      <c r="K14" s="52" t="str">
        <f t="shared" si="1"/>
        <v>BWraith-perth soccer-Entertain Lycopodium Jeans for Genes Event</v>
      </c>
      <c r="L14" s="52" t="s">
        <v>32</v>
      </c>
      <c r="M14" s="53">
        <f t="shared" si="2"/>
        <v>42</v>
      </c>
      <c r="N14" s="54" t="s">
        <v>33</v>
      </c>
      <c r="O14" s="44"/>
      <c r="P14" s="54"/>
      <c r="R14" s="21">
        <f t="shared" si="3"/>
        <v>63</v>
      </c>
    </row>
    <row r="15" spans="1:18" ht="15.75" thickBot="1" x14ac:dyDescent="0.25">
      <c r="A15" s="47">
        <v>45871</v>
      </c>
      <c r="B15" s="47" t="s">
        <v>529</v>
      </c>
      <c r="C15" s="48">
        <v>53.8</v>
      </c>
      <c r="D15" s="48"/>
      <c r="E15" s="13" t="s">
        <v>370</v>
      </c>
      <c r="F15" s="13" t="s">
        <v>366</v>
      </c>
      <c r="G15" s="13" t="s">
        <v>367</v>
      </c>
      <c r="H15" s="13"/>
      <c r="J15" s="51" t="str">
        <f t="shared" si="0"/>
        <v>G077.SALP</v>
      </c>
      <c r="K15" s="52" t="str">
        <f t="shared" si="1"/>
        <v>BWraith-murray mews-Breakfast on Diggers and Dealers trip</v>
      </c>
      <c r="L15" s="52" t="s">
        <v>32</v>
      </c>
      <c r="M15" s="53">
        <f t="shared" si="2"/>
        <v>53.8</v>
      </c>
      <c r="N15" s="54" t="s">
        <v>33</v>
      </c>
      <c r="O15" s="44"/>
      <c r="P15" s="54"/>
      <c r="R15" s="21">
        <f t="shared" si="3"/>
        <v>57</v>
      </c>
    </row>
    <row r="16" spans="1:18" ht="15.75" thickBot="1" x14ac:dyDescent="0.25">
      <c r="A16" s="47">
        <v>45871</v>
      </c>
      <c r="B16" s="47" t="s">
        <v>527</v>
      </c>
      <c r="C16" s="48">
        <v>18.84</v>
      </c>
      <c r="D16" s="48"/>
      <c r="E16" s="13" t="s">
        <v>544</v>
      </c>
      <c r="F16" s="13" t="s">
        <v>366</v>
      </c>
      <c r="G16" s="13" t="s">
        <v>367</v>
      </c>
      <c r="H16" s="13"/>
      <c r="J16" s="51" t="str">
        <f t="shared" si="0"/>
        <v>G077.SALP</v>
      </c>
      <c r="K16" s="52" t="str">
        <f t="shared" si="1"/>
        <v>BWraith-didi mobility-Travel to event with WA Metallurgists</v>
      </c>
      <c r="L16" s="52" t="s">
        <v>32</v>
      </c>
      <c r="M16" s="53">
        <f t="shared" si="2"/>
        <v>18.84</v>
      </c>
      <c r="N16" s="54" t="s">
        <v>33</v>
      </c>
      <c r="O16" s="44"/>
      <c r="P16" s="54"/>
      <c r="R16" s="21">
        <f t="shared" si="3"/>
        <v>59</v>
      </c>
    </row>
    <row r="17" spans="1:18" ht="15.75" thickBot="1" x14ac:dyDescent="0.25">
      <c r="A17" s="47">
        <v>45871</v>
      </c>
      <c r="B17" s="47" t="s">
        <v>530</v>
      </c>
      <c r="C17" s="48">
        <v>37</v>
      </c>
      <c r="D17" s="48"/>
      <c r="E17" s="13" t="s">
        <v>545</v>
      </c>
      <c r="F17" s="13" t="s">
        <v>366</v>
      </c>
      <c r="G17" s="13" t="s">
        <v>367</v>
      </c>
      <c r="H17" s="13"/>
      <c r="J17" s="51" t="str">
        <f t="shared" ref="J17:J38" si="4">IF(F17&gt;0,(_xlfn.CONCAT(F17,".",G17)),H17)</f>
        <v>G077.SALP</v>
      </c>
      <c r="K17" s="52" t="str">
        <f t="shared" si="1"/>
        <v>BWraith-alh venues-event drinks with WA Metallurgists</v>
      </c>
      <c r="L17" s="52" t="s">
        <v>32</v>
      </c>
      <c r="M17" s="53">
        <f t="shared" ref="M17:M38" si="5">IF(C17&gt;0,C17,-D17)</f>
        <v>37</v>
      </c>
      <c r="N17" s="54" t="s">
        <v>33</v>
      </c>
      <c r="O17" s="44"/>
      <c r="P17" s="54"/>
      <c r="R17" s="21">
        <f t="shared" si="3"/>
        <v>53</v>
      </c>
    </row>
    <row r="18" spans="1:18" ht="15.75" thickBot="1" x14ac:dyDescent="0.25">
      <c r="A18" s="47">
        <v>45871</v>
      </c>
      <c r="B18" s="47" t="s">
        <v>527</v>
      </c>
      <c r="C18" s="48">
        <v>21.15</v>
      </c>
      <c r="D18" s="48"/>
      <c r="E18" s="13" t="s">
        <v>544</v>
      </c>
      <c r="F18" s="13" t="s">
        <v>366</v>
      </c>
      <c r="G18" s="13" t="s">
        <v>367</v>
      </c>
      <c r="H18" s="13"/>
      <c r="J18" s="51" t="str">
        <f t="shared" si="4"/>
        <v>G077.SALP</v>
      </c>
      <c r="K18" s="52" t="str">
        <f t="shared" si="1"/>
        <v>BWraith-didi mobility-Travel to event with WA Metallurgists</v>
      </c>
      <c r="L18" s="52" t="s">
        <v>32</v>
      </c>
      <c r="M18" s="53">
        <f t="shared" si="5"/>
        <v>21.15</v>
      </c>
      <c r="N18" s="54" t="s">
        <v>33</v>
      </c>
      <c r="O18" s="44"/>
      <c r="P18" s="54"/>
      <c r="R18" s="21">
        <f t="shared" si="3"/>
        <v>59</v>
      </c>
    </row>
    <row r="19" spans="1:18" ht="15.75" thickBot="1" x14ac:dyDescent="0.25">
      <c r="A19" s="47">
        <v>45871</v>
      </c>
      <c r="B19" s="47" t="s">
        <v>530</v>
      </c>
      <c r="C19" s="48">
        <v>25.4</v>
      </c>
      <c r="D19" s="48"/>
      <c r="E19" s="13" t="s">
        <v>545</v>
      </c>
      <c r="F19" s="13" t="s">
        <v>366</v>
      </c>
      <c r="G19" s="13" t="s">
        <v>367</v>
      </c>
      <c r="H19" s="13"/>
      <c r="J19" s="51" t="str">
        <f t="shared" si="4"/>
        <v>G077.SALP</v>
      </c>
      <c r="K19" s="52" t="str">
        <f t="shared" si="1"/>
        <v>BWraith-alh venues-event drinks with WA Metallurgists</v>
      </c>
      <c r="L19" s="52" t="s">
        <v>32</v>
      </c>
      <c r="M19" s="53">
        <f t="shared" si="5"/>
        <v>25.4</v>
      </c>
      <c r="N19" s="54" t="s">
        <v>33</v>
      </c>
      <c r="O19" s="44"/>
      <c r="P19" s="54"/>
      <c r="R19" s="21">
        <f t="shared" si="3"/>
        <v>53</v>
      </c>
    </row>
    <row r="20" spans="1:18" ht="15.75" thickBot="1" x14ac:dyDescent="0.25">
      <c r="A20" s="47">
        <v>45871</v>
      </c>
      <c r="B20" s="47" t="s">
        <v>530</v>
      </c>
      <c r="C20" s="48">
        <v>35.9</v>
      </c>
      <c r="D20" s="48"/>
      <c r="E20" s="13" t="s">
        <v>545</v>
      </c>
      <c r="F20" s="13" t="s">
        <v>366</v>
      </c>
      <c r="G20" s="13" t="s">
        <v>367</v>
      </c>
      <c r="H20" s="13"/>
      <c r="J20" s="51" t="str">
        <f t="shared" si="4"/>
        <v>G077.SALP</v>
      </c>
      <c r="K20" s="52" t="str">
        <f t="shared" si="1"/>
        <v>BWraith-alh venues-event drinks with WA Metallurgists</v>
      </c>
      <c r="L20" s="52" t="s">
        <v>32</v>
      </c>
      <c r="M20" s="53">
        <f t="shared" si="5"/>
        <v>35.9</v>
      </c>
      <c r="N20" s="54" t="s">
        <v>33</v>
      </c>
      <c r="O20" s="44"/>
      <c r="P20" s="54"/>
      <c r="R20" s="21">
        <f t="shared" si="3"/>
        <v>53</v>
      </c>
    </row>
    <row r="21" spans="1:18" ht="15.75" thickBot="1" x14ac:dyDescent="0.25">
      <c r="A21" s="47">
        <v>45872</v>
      </c>
      <c r="B21" s="47" t="s">
        <v>371</v>
      </c>
      <c r="C21" s="48">
        <v>19.93</v>
      </c>
      <c r="D21" s="48"/>
      <c r="E21" s="13" t="s">
        <v>372</v>
      </c>
      <c r="F21" s="13" t="s">
        <v>366</v>
      </c>
      <c r="G21" s="13" t="s">
        <v>367</v>
      </c>
      <c r="H21" s="13"/>
      <c r="J21" s="51" t="str">
        <f t="shared" si="4"/>
        <v>G077.SALP</v>
      </c>
      <c r="K21" s="52" t="str">
        <f t="shared" si="1"/>
        <v>BWraith-ls the wolf esp-Coffee's on the way to Kalgoorlie for Diggers and Dealers</v>
      </c>
      <c r="L21" s="52" t="s">
        <v>32</v>
      </c>
      <c r="M21" s="53">
        <f t="shared" si="5"/>
        <v>19.93</v>
      </c>
      <c r="N21" s="54" t="s">
        <v>33</v>
      </c>
      <c r="O21" s="44"/>
      <c r="P21" s="54"/>
      <c r="R21" s="21">
        <f t="shared" si="3"/>
        <v>81</v>
      </c>
    </row>
    <row r="22" spans="1:18" ht="15.75" thickBot="1" x14ac:dyDescent="0.25">
      <c r="A22" s="47">
        <v>45872</v>
      </c>
      <c r="B22" s="47" t="s">
        <v>531</v>
      </c>
      <c r="C22" s="48">
        <v>8</v>
      </c>
      <c r="D22" s="48"/>
      <c r="E22" s="13" t="s">
        <v>547</v>
      </c>
      <c r="F22" s="13" t="s">
        <v>366</v>
      </c>
      <c r="G22" s="13" t="s">
        <v>367</v>
      </c>
      <c r="H22" s="13"/>
      <c r="J22" s="51" t="str">
        <f t="shared" si="4"/>
        <v>G077.SALP</v>
      </c>
      <c r="K22" s="52" t="str">
        <f t="shared" si="1"/>
        <v>BWraith-star &amp; garter h-D&amp;D meals and drinks</v>
      </c>
      <c r="L22" s="52" t="s">
        <v>32</v>
      </c>
      <c r="M22" s="53">
        <f t="shared" si="5"/>
        <v>8</v>
      </c>
      <c r="N22" s="54" t="s">
        <v>33</v>
      </c>
      <c r="O22" s="44"/>
      <c r="P22" s="54"/>
      <c r="R22" s="21">
        <f t="shared" si="3"/>
        <v>44</v>
      </c>
    </row>
    <row r="23" spans="1:18" ht="15.75" thickBot="1" x14ac:dyDescent="0.25">
      <c r="A23" s="47">
        <v>45873</v>
      </c>
      <c r="B23" s="47" t="s">
        <v>532</v>
      </c>
      <c r="C23" s="48">
        <v>51.77</v>
      </c>
      <c r="D23" s="48"/>
      <c r="E23" s="13" t="s">
        <v>547</v>
      </c>
      <c r="F23" s="13" t="s">
        <v>366</v>
      </c>
      <c r="G23" s="13" t="s">
        <v>367</v>
      </c>
      <c r="H23" s="13"/>
      <c r="J23" s="51" t="str">
        <f t="shared" si="4"/>
        <v>G077.SALP</v>
      </c>
      <c r="K23" s="52" t="str">
        <f t="shared" si="1"/>
        <v>BWraith-exchange hotel-D&amp;D meals and drinks</v>
      </c>
      <c r="L23" s="52" t="s">
        <v>32</v>
      </c>
      <c r="M23" s="53">
        <f t="shared" si="5"/>
        <v>51.77</v>
      </c>
      <c r="N23" s="54" t="s">
        <v>33</v>
      </c>
      <c r="O23" s="44"/>
      <c r="P23" s="54"/>
      <c r="R23" s="21">
        <f t="shared" si="3"/>
        <v>43</v>
      </c>
    </row>
    <row r="24" spans="1:18" ht="15.75" thickBot="1" x14ac:dyDescent="0.25">
      <c r="A24" s="47">
        <v>45873</v>
      </c>
      <c r="B24" s="47" t="s">
        <v>533</v>
      </c>
      <c r="C24" s="48">
        <v>46.51</v>
      </c>
      <c r="D24" s="48"/>
      <c r="E24" s="13" t="s">
        <v>547</v>
      </c>
      <c r="F24" s="13" t="s">
        <v>366</v>
      </c>
      <c r="G24" s="13" t="s">
        <v>367</v>
      </c>
      <c r="H24" s="13"/>
      <c r="J24" s="51" t="str">
        <f t="shared" si="4"/>
        <v>G077.SALP</v>
      </c>
      <c r="K24" s="52" t="str">
        <f t="shared" si="1"/>
        <v>BWraith-palace hotel-D&amp;D meals and drinks</v>
      </c>
      <c r="L24" s="52" t="s">
        <v>32</v>
      </c>
      <c r="M24" s="53">
        <f t="shared" si="5"/>
        <v>46.51</v>
      </c>
      <c r="N24" s="54" t="s">
        <v>33</v>
      </c>
      <c r="O24" s="44"/>
      <c r="P24" s="54"/>
      <c r="R24" s="21">
        <f t="shared" si="3"/>
        <v>41</v>
      </c>
    </row>
    <row r="25" spans="1:18" ht="15.75" thickBot="1" x14ac:dyDescent="0.25">
      <c r="A25" s="47">
        <v>45873</v>
      </c>
      <c r="B25" s="47" t="s">
        <v>374</v>
      </c>
      <c r="C25" s="48">
        <v>48.72</v>
      </c>
      <c r="D25" s="48"/>
      <c r="E25" s="13" t="s">
        <v>547</v>
      </c>
      <c r="F25" s="13" t="s">
        <v>366</v>
      </c>
      <c r="G25" s="13" t="s">
        <v>367</v>
      </c>
      <c r="H25" s="13"/>
      <c r="J25" s="51" t="str">
        <f t="shared" si="4"/>
        <v>G077.SALP</v>
      </c>
      <c r="K25" s="52" t="str">
        <f t="shared" si="1"/>
        <v>BWraith-exchange hotel -D&amp;D meals and drinks</v>
      </c>
      <c r="L25" s="52" t="s">
        <v>32</v>
      </c>
      <c r="M25" s="53">
        <f t="shared" si="5"/>
        <v>48.72</v>
      </c>
      <c r="N25" s="54" t="s">
        <v>33</v>
      </c>
      <c r="O25" s="44"/>
      <c r="P25" s="54"/>
      <c r="R25" s="21">
        <f t="shared" si="3"/>
        <v>44</v>
      </c>
    </row>
    <row r="26" spans="1:18" ht="15.75" thickBot="1" x14ac:dyDescent="0.25">
      <c r="A26" s="47">
        <v>45874</v>
      </c>
      <c r="B26" s="47" t="s">
        <v>374</v>
      </c>
      <c r="C26" s="48">
        <v>52.78</v>
      </c>
      <c r="D26" s="48"/>
      <c r="E26" s="13" t="s">
        <v>547</v>
      </c>
      <c r="F26" s="13" t="s">
        <v>366</v>
      </c>
      <c r="G26" s="13" t="s">
        <v>367</v>
      </c>
      <c r="H26" s="13"/>
      <c r="J26" s="51" t="str">
        <f t="shared" si="4"/>
        <v>G077.SALP</v>
      </c>
      <c r="K26" s="52" t="str">
        <f t="shared" si="1"/>
        <v>BWraith-exchange hotel -D&amp;D meals and drinks</v>
      </c>
      <c r="L26" s="52" t="s">
        <v>32</v>
      </c>
      <c r="M26" s="53">
        <f t="shared" si="5"/>
        <v>52.78</v>
      </c>
      <c r="N26" s="54" t="s">
        <v>33</v>
      </c>
      <c r="O26" s="44"/>
      <c r="P26" s="54"/>
      <c r="R26" s="21">
        <f t="shared" si="3"/>
        <v>44</v>
      </c>
    </row>
    <row r="27" spans="1:18" ht="15.75" thickBot="1" x14ac:dyDescent="0.25">
      <c r="A27" s="47">
        <v>45874</v>
      </c>
      <c r="B27" s="47" t="s">
        <v>375</v>
      </c>
      <c r="C27" s="48">
        <v>53.38</v>
      </c>
      <c r="D27" s="48"/>
      <c r="E27" s="13" t="s">
        <v>547</v>
      </c>
      <c r="F27" s="13" t="s">
        <v>366</v>
      </c>
      <c r="G27" s="13" t="s">
        <v>367</v>
      </c>
      <c r="H27" s="13"/>
      <c r="J27" s="51" t="str">
        <f t="shared" si="4"/>
        <v>G077.SALP</v>
      </c>
      <c r="K27" s="52" t="str">
        <f t="shared" si="1"/>
        <v>BWraith-palace hotel ka-D&amp;D meals and drinks</v>
      </c>
      <c r="L27" s="52" t="s">
        <v>32</v>
      </c>
      <c r="M27" s="53">
        <f t="shared" si="5"/>
        <v>53.38</v>
      </c>
      <c r="N27" s="54" t="s">
        <v>33</v>
      </c>
      <c r="O27" s="44"/>
      <c r="P27" s="54"/>
      <c r="R27" s="21">
        <f t="shared" si="3"/>
        <v>44</v>
      </c>
    </row>
    <row r="28" spans="1:18" ht="15.75" thickBot="1" x14ac:dyDescent="0.25">
      <c r="A28" s="47">
        <v>45874</v>
      </c>
      <c r="B28" s="47" t="s">
        <v>374</v>
      </c>
      <c r="C28" s="48">
        <v>53.8</v>
      </c>
      <c r="D28" s="48"/>
      <c r="E28" s="13" t="s">
        <v>547</v>
      </c>
      <c r="F28" s="13" t="s">
        <v>366</v>
      </c>
      <c r="G28" s="13" t="s">
        <v>367</v>
      </c>
      <c r="H28" s="13"/>
      <c r="J28" s="51" t="str">
        <f t="shared" si="4"/>
        <v>G077.SALP</v>
      </c>
      <c r="K28" s="52" t="str">
        <f t="shared" si="1"/>
        <v>BWraith-exchange hotel -D&amp;D meals and drinks</v>
      </c>
      <c r="L28" s="52" t="s">
        <v>32</v>
      </c>
      <c r="M28" s="53">
        <f t="shared" si="5"/>
        <v>53.8</v>
      </c>
      <c r="N28" s="54" t="s">
        <v>33</v>
      </c>
      <c r="O28" s="44"/>
      <c r="P28" s="54"/>
      <c r="R28" s="21">
        <f t="shared" si="3"/>
        <v>44</v>
      </c>
    </row>
    <row r="29" spans="1:18" ht="15.75" thickBot="1" x14ac:dyDescent="0.25">
      <c r="A29" s="47">
        <v>45874</v>
      </c>
      <c r="B29" s="47" t="s">
        <v>376</v>
      </c>
      <c r="C29" s="48">
        <v>15</v>
      </c>
      <c r="D29" s="48"/>
      <c r="E29" s="13" t="s">
        <v>547</v>
      </c>
      <c r="F29" s="13" t="s">
        <v>366</v>
      </c>
      <c r="G29" s="13" t="s">
        <v>367</v>
      </c>
      <c r="H29" s="13"/>
      <c r="J29" s="51" t="str">
        <f t="shared" si="4"/>
        <v>G077.SALP</v>
      </c>
      <c r="K29" s="52" t="str">
        <f t="shared" si="1"/>
        <v>BWraith-acropolis now k-D&amp;D meals and drinks</v>
      </c>
      <c r="L29" s="52" t="s">
        <v>32</v>
      </c>
      <c r="M29" s="53">
        <f t="shared" si="5"/>
        <v>15</v>
      </c>
      <c r="N29" s="54" t="s">
        <v>33</v>
      </c>
      <c r="O29" s="44"/>
      <c r="P29" s="54"/>
      <c r="R29" s="21">
        <f t="shared" si="3"/>
        <v>44</v>
      </c>
    </row>
    <row r="30" spans="1:18" ht="15.75" thickBot="1" x14ac:dyDescent="0.25">
      <c r="A30" s="47">
        <v>45875</v>
      </c>
      <c r="B30" s="47" t="s">
        <v>373</v>
      </c>
      <c r="C30" s="48">
        <v>120</v>
      </c>
      <c r="D30" s="48"/>
      <c r="E30" s="13" t="s">
        <v>547</v>
      </c>
      <c r="F30" s="13" t="s">
        <v>366</v>
      </c>
      <c r="G30" s="13" t="s">
        <v>367</v>
      </c>
      <c r="H30" s="13"/>
      <c r="J30" s="51" t="str">
        <f t="shared" si="4"/>
        <v>G077.SALP</v>
      </c>
      <c r="K30" s="52" t="str">
        <f t="shared" si="1"/>
        <v>BWraith-star &amp; garter h-D&amp;D meals and drinks</v>
      </c>
      <c r="L30" s="52" t="s">
        <v>32</v>
      </c>
      <c r="M30" s="53">
        <f t="shared" si="5"/>
        <v>120</v>
      </c>
      <c r="N30" s="54" t="s">
        <v>33</v>
      </c>
      <c r="O30" s="44"/>
      <c r="P30" s="54"/>
      <c r="R30" s="21">
        <f t="shared" si="3"/>
        <v>44</v>
      </c>
    </row>
    <row r="31" spans="1:18" ht="15.75" thickBot="1" x14ac:dyDescent="0.25">
      <c r="A31" s="47">
        <v>45875</v>
      </c>
      <c r="B31" s="47" t="s">
        <v>373</v>
      </c>
      <c r="C31" s="48">
        <v>33</v>
      </c>
      <c r="D31" s="48"/>
      <c r="E31" s="13" t="s">
        <v>547</v>
      </c>
      <c r="F31" s="13" t="s">
        <v>366</v>
      </c>
      <c r="G31" s="13" t="s">
        <v>367</v>
      </c>
      <c r="H31" s="13"/>
      <c r="J31" s="51" t="str">
        <f t="shared" si="4"/>
        <v>G077.SALP</v>
      </c>
      <c r="K31" s="52" t="str">
        <f t="shared" si="1"/>
        <v>BWraith-star &amp; garter h-D&amp;D meals and drinks</v>
      </c>
      <c r="L31" s="52" t="s">
        <v>32</v>
      </c>
      <c r="M31" s="53">
        <f t="shared" si="5"/>
        <v>33</v>
      </c>
      <c r="N31" s="54" t="s">
        <v>33</v>
      </c>
      <c r="O31" s="44"/>
      <c r="P31" s="54"/>
      <c r="R31" s="21">
        <f t="shared" si="3"/>
        <v>44</v>
      </c>
    </row>
    <row r="32" spans="1:18" ht="15.75" thickBot="1" x14ac:dyDescent="0.25">
      <c r="A32" s="47">
        <v>45877</v>
      </c>
      <c r="B32" s="47" t="s">
        <v>368</v>
      </c>
      <c r="C32" s="48">
        <v>58.58</v>
      </c>
      <c r="D32" s="48"/>
      <c r="E32" s="13" t="s">
        <v>548</v>
      </c>
      <c r="F32" s="13" t="s">
        <v>366</v>
      </c>
      <c r="G32" s="13" t="s">
        <v>367</v>
      </c>
      <c r="H32" s="13"/>
      <c r="J32" s="51" t="str">
        <f t="shared" si="4"/>
        <v>G077.SALP</v>
      </c>
      <c r="K32" s="52" t="str">
        <f t="shared" si="1"/>
        <v>BWraith-didi mobility s-Travel home from airport after D&amp;D Conference</v>
      </c>
      <c r="L32" s="52" t="s">
        <v>32</v>
      </c>
      <c r="M32" s="53">
        <f t="shared" si="5"/>
        <v>58.58</v>
      </c>
      <c r="N32" s="54" t="s">
        <v>33</v>
      </c>
      <c r="O32" s="44"/>
      <c r="P32" s="54"/>
      <c r="R32" s="21">
        <f t="shared" si="3"/>
        <v>69</v>
      </c>
    </row>
    <row r="33" spans="1:18" ht="15.75" thickBot="1" x14ac:dyDescent="0.25">
      <c r="A33" s="47">
        <v>45876</v>
      </c>
      <c r="B33" s="47" t="s">
        <v>377</v>
      </c>
      <c r="C33" s="48">
        <v>22.3</v>
      </c>
      <c r="D33" s="48"/>
      <c r="E33" s="13" t="s">
        <v>547</v>
      </c>
      <c r="F33" s="13" t="s">
        <v>366</v>
      </c>
      <c r="G33" s="13" t="s">
        <v>367</v>
      </c>
      <c r="H33" s="13"/>
      <c r="J33" s="51" t="str">
        <f t="shared" si="4"/>
        <v>G077.SALP</v>
      </c>
      <c r="K33" s="52" t="str">
        <f t="shared" si="1"/>
        <v>BWraith-bp golden gate -D&amp;D meals and drinks</v>
      </c>
      <c r="L33" s="52" t="s">
        <v>32</v>
      </c>
      <c r="M33" s="53">
        <f t="shared" si="5"/>
        <v>22.3</v>
      </c>
      <c r="N33" s="54" t="s">
        <v>33</v>
      </c>
      <c r="O33" s="44"/>
      <c r="P33" s="54"/>
      <c r="R33" s="21">
        <f t="shared" si="3"/>
        <v>44</v>
      </c>
    </row>
    <row r="34" spans="1:18" ht="15.75" thickBot="1" x14ac:dyDescent="0.25">
      <c r="A34" s="47">
        <v>45876</v>
      </c>
      <c r="B34" s="47" t="s">
        <v>378</v>
      </c>
      <c r="C34" s="48">
        <v>39</v>
      </c>
      <c r="D34" s="48"/>
      <c r="E34" s="13" t="s">
        <v>549</v>
      </c>
      <c r="F34" s="13" t="s">
        <v>366</v>
      </c>
      <c r="G34" s="13" t="s">
        <v>367</v>
      </c>
      <c r="H34" s="13"/>
      <c r="J34" s="51" t="str">
        <f t="shared" si="4"/>
        <v>G077.SALP</v>
      </c>
      <c r="K34" s="52" t="str">
        <f t="shared" si="1"/>
        <v>BWraith-delaware north -Dinner whilst traveling home from D&amp;D</v>
      </c>
      <c r="L34" s="52" t="s">
        <v>32</v>
      </c>
      <c r="M34" s="53">
        <f t="shared" si="5"/>
        <v>39</v>
      </c>
      <c r="N34" s="54" t="s">
        <v>33</v>
      </c>
      <c r="O34" s="44"/>
      <c r="P34" s="54"/>
      <c r="R34" s="21">
        <f t="shared" si="3"/>
        <v>61</v>
      </c>
    </row>
    <row r="35" spans="1:18" ht="15.75" thickBot="1" x14ac:dyDescent="0.25">
      <c r="A35" s="47">
        <v>45880</v>
      </c>
      <c r="B35" s="47" t="s">
        <v>379</v>
      </c>
      <c r="C35" s="48">
        <v>20</v>
      </c>
      <c r="D35" s="48"/>
      <c r="E35" s="13" t="s">
        <v>550</v>
      </c>
      <c r="F35" s="56">
        <v>1041</v>
      </c>
      <c r="G35" s="13" t="s">
        <v>364</v>
      </c>
      <c r="H35" s="13"/>
      <c r="J35" s="51" t="str">
        <f t="shared" si="4"/>
        <v>1041.CONF</v>
      </c>
      <c r="K35" s="52" t="str">
        <f t="shared" si="1"/>
        <v>BWraith-ausimm carlton-Student Meets IndustryNightReg</v>
      </c>
      <c r="L35" s="52" t="s">
        <v>32</v>
      </c>
      <c r="M35" s="53">
        <f t="shared" si="5"/>
        <v>20</v>
      </c>
      <c r="N35" s="54" t="s">
        <v>33</v>
      </c>
      <c r="O35" s="44"/>
      <c r="P35" s="54"/>
      <c r="R35" s="21">
        <f t="shared" si="3"/>
        <v>53</v>
      </c>
    </row>
    <row r="36" spans="1:18" ht="15.75" thickBot="1" x14ac:dyDescent="0.25">
      <c r="A36" s="47">
        <v>45881</v>
      </c>
      <c r="B36" s="47" t="s">
        <v>380</v>
      </c>
      <c r="C36" s="48">
        <v>229.88</v>
      </c>
      <c r="D36" s="48"/>
      <c r="E36" s="13" t="s">
        <v>381</v>
      </c>
      <c r="F36" s="13" t="s">
        <v>382</v>
      </c>
      <c r="G36" s="13" t="s">
        <v>367</v>
      </c>
      <c r="H36" s="13"/>
      <c r="J36" s="51" t="str">
        <f t="shared" si="4"/>
        <v>G068.SALP</v>
      </c>
      <c r="K36" s="52" t="str">
        <f t="shared" si="1"/>
        <v>BWraith-best choice bal-Sales Conference Accomodation</v>
      </c>
      <c r="L36" s="52" t="s">
        <v>32</v>
      </c>
      <c r="M36" s="53">
        <f t="shared" si="5"/>
        <v>229.88</v>
      </c>
      <c r="N36" s="54" t="s">
        <v>33</v>
      </c>
      <c r="O36" s="44"/>
      <c r="P36" s="54"/>
      <c r="R36" s="21">
        <f t="shared" si="3"/>
        <v>53</v>
      </c>
    </row>
    <row r="37" spans="1:18" ht="15.75" thickBot="1" x14ac:dyDescent="0.25">
      <c r="A37" s="47">
        <v>45881</v>
      </c>
      <c r="B37" s="47" t="s">
        <v>383</v>
      </c>
      <c r="C37" s="48">
        <v>19.809999999999999</v>
      </c>
      <c r="D37" s="48"/>
      <c r="E37" s="13" t="s">
        <v>384</v>
      </c>
      <c r="F37" s="13" t="s">
        <v>382</v>
      </c>
      <c r="G37" s="13" t="s">
        <v>367</v>
      </c>
      <c r="H37" s="13"/>
      <c r="J37" s="51" t="str">
        <f t="shared" si="4"/>
        <v>G068.SALP</v>
      </c>
      <c r="K37" s="52" t="str">
        <f t="shared" si="1"/>
        <v>BWraith-sq 3350 coffee -Breakfast Sales Conference</v>
      </c>
      <c r="L37" s="52" t="s">
        <v>32</v>
      </c>
      <c r="M37" s="53">
        <f t="shared" si="5"/>
        <v>19.809999999999999</v>
      </c>
      <c r="N37" s="54" t="s">
        <v>33</v>
      </c>
      <c r="O37" s="44"/>
      <c r="P37" s="54"/>
      <c r="R37" s="21">
        <f t="shared" si="3"/>
        <v>50</v>
      </c>
    </row>
    <row r="38" spans="1:18" ht="15.75" thickBot="1" x14ac:dyDescent="0.25">
      <c r="A38" s="47">
        <v>45882</v>
      </c>
      <c r="B38" s="47" t="s">
        <v>546</v>
      </c>
      <c r="C38" s="48">
        <v>677.58</v>
      </c>
      <c r="D38" s="48"/>
      <c r="E38" s="13" t="s">
        <v>534</v>
      </c>
      <c r="F38" s="13" t="s">
        <v>382</v>
      </c>
      <c r="G38" s="13" t="s">
        <v>367</v>
      </c>
      <c r="H38" s="13"/>
      <c r="J38" s="51" t="str">
        <f t="shared" si="4"/>
        <v>G068.SALP</v>
      </c>
      <c r="K38" s="52" t="str">
        <f t="shared" si="1"/>
        <v>BWraith-north star-Dinner: AE, NK, NZ, TB, BW, TH, SM</v>
      </c>
      <c r="L38" s="52" t="s">
        <v>32</v>
      </c>
      <c r="M38" s="53">
        <f t="shared" si="5"/>
        <v>677.58</v>
      </c>
      <c r="N38" s="54" t="s">
        <v>33</v>
      </c>
      <c r="O38" s="44"/>
      <c r="P38" s="54"/>
      <c r="R38" s="21">
        <f t="shared" si="3"/>
        <v>53</v>
      </c>
    </row>
    <row r="39" spans="1:18" ht="15.75" thickBot="1" x14ac:dyDescent="0.25">
      <c r="A39" s="47"/>
      <c r="B39" s="47"/>
      <c r="C39" s="48"/>
      <c r="D39" s="48"/>
      <c r="E39" s="13"/>
      <c r="F39" s="13"/>
      <c r="G39" s="13"/>
      <c r="H39" s="13"/>
      <c r="J39" s="51"/>
      <c r="K39" s="52"/>
      <c r="L39" s="52"/>
      <c r="M39" s="53"/>
      <c r="N39" s="54"/>
      <c r="O39" s="44"/>
      <c r="P39" s="54"/>
    </row>
    <row r="40" spans="1:18" ht="15.75" thickBot="1" x14ac:dyDescent="0.25">
      <c r="A40" s="47"/>
      <c r="B40" s="47"/>
      <c r="C40" s="48"/>
      <c r="D40" s="48"/>
      <c r="E40" s="13"/>
      <c r="F40" s="13"/>
      <c r="G40" s="13"/>
      <c r="H40" s="13"/>
      <c r="J40" s="51"/>
      <c r="K40" s="52"/>
      <c r="L40" s="52"/>
      <c r="M40" s="53"/>
      <c r="N40" s="54"/>
      <c r="O40" s="44"/>
      <c r="P40" s="54"/>
    </row>
    <row r="41" spans="1:18" ht="15.75" thickBot="1" x14ac:dyDescent="0.25">
      <c r="A41" s="47"/>
      <c r="B41" s="47"/>
      <c r="C41" s="48"/>
      <c r="D41" s="48"/>
      <c r="E41" s="13"/>
      <c r="F41" s="13"/>
      <c r="G41" s="13"/>
      <c r="H41" s="13"/>
      <c r="J41" s="51"/>
      <c r="K41" s="52"/>
      <c r="L41" s="52"/>
      <c r="M41" s="53"/>
      <c r="N41" s="54"/>
      <c r="O41" s="44"/>
      <c r="P41" s="54"/>
    </row>
    <row r="42" spans="1:18" ht="15.75" thickBot="1" x14ac:dyDescent="0.25">
      <c r="A42" s="47"/>
      <c r="B42" s="47"/>
      <c r="C42" s="48"/>
      <c r="D42" s="48"/>
      <c r="E42" s="13"/>
      <c r="F42" s="13"/>
      <c r="G42" s="13"/>
      <c r="H42" s="13"/>
      <c r="J42" s="51"/>
      <c r="K42" s="52"/>
      <c r="L42" s="52"/>
      <c r="M42" s="53"/>
      <c r="N42" s="54"/>
      <c r="O42" s="44"/>
      <c r="P42" s="54"/>
    </row>
    <row r="43" spans="1:18" ht="15.75" thickBot="1" x14ac:dyDescent="0.25">
      <c r="A43" s="47"/>
      <c r="B43" s="47"/>
      <c r="C43" s="48"/>
      <c r="D43" s="48"/>
      <c r="E43" s="13"/>
      <c r="F43" s="13"/>
      <c r="G43" s="13"/>
      <c r="H43" s="13"/>
      <c r="J43" s="51"/>
      <c r="K43" s="52"/>
      <c r="L43" s="52"/>
      <c r="M43" s="53"/>
      <c r="N43" s="54"/>
      <c r="O43" s="44"/>
      <c r="P43" s="54"/>
    </row>
    <row r="44" spans="1:18" ht="15.75" thickBot="1" x14ac:dyDescent="0.25">
      <c r="A44" s="47"/>
      <c r="B44" s="47"/>
      <c r="C44" s="48"/>
      <c r="D44" s="48"/>
      <c r="E44" s="13"/>
      <c r="F44" s="13"/>
      <c r="G44" s="13"/>
      <c r="H44" s="13"/>
      <c r="J44" s="51"/>
      <c r="K44" s="52"/>
      <c r="L44" s="52"/>
      <c r="M44" s="53"/>
      <c r="N44" s="54"/>
      <c r="O44" s="44"/>
      <c r="P44" s="54"/>
    </row>
    <row r="45" spans="1:18" ht="15.75" thickBot="1" x14ac:dyDescent="0.25">
      <c r="A45" s="47"/>
      <c r="B45" s="47"/>
      <c r="C45" s="48"/>
      <c r="D45" s="48"/>
      <c r="E45" s="13"/>
      <c r="F45" s="13"/>
      <c r="G45" s="13"/>
      <c r="H45" s="13"/>
      <c r="J45" s="51"/>
      <c r="K45" s="52"/>
      <c r="L45" s="52"/>
      <c r="M45" s="53"/>
      <c r="N45" s="54"/>
      <c r="O45" s="44"/>
      <c r="P45" s="54"/>
    </row>
    <row r="46" spans="1:18" ht="15.75" thickBot="1" x14ac:dyDescent="0.25">
      <c r="A46" s="47"/>
      <c r="B46" s="47"/>
      <c r="C46" s="48"/>
      <c r="D46" s="48"/>
      <c r="E46" s="13"/>
      <c r="F46" s="13"/>
      <c r="G46" s="13"/>
      <c r="H46" s="13"/>
      <c r="J46" s="51"/>
      <c r="K46" s="52"/>
      <c r="L46" s="52"/>
      <c r="M46" s="53"/>
      <c r="N46" s="54"/>
      <c r="O46" s="44"/>
      <c r="P46" s="54"/>
    </row>
    <row r="47" spans="1:18" ht="15.75" thickBot="1" x14ac:dyDescent="0.25">
      <c r="A47" s="47"/>
      <c r="B47" s="47"/>
      <c r="C47" s="48"/>
      <c r="D47" s="48"/>
      <c r="E47" s="13"/>
      <c r="F47" s="13"/>
      <c r="G47" s="13"/>
      <c r="H47" s="13"/>
      <c r="J47" s="51"/>
      <c r="K47" s="52"/>
      <c r="L47" s="52"/>
      <c r="M47" s="53"/>
      <c r="N47" s="54"/>
      <c r="O47" s="44"/>
      <c r="P47" s="54"/>
    </row>
    <row r="48" spans="1:18" ht="15.75" thickBot="1" x14ac:dyDescent="0.25">
      <c r="A48" s="47"/>
      <c r="B48" s="47"/>
      <c r="C48" s="48"/>
      <c r="D48" s="48"/>
      <c r="E48" s="13"/>
      <c r="F48" s="13"/>
      <c r="G48" s="13"/>
      <c r="H48" s="13"/>
      <c r="J48" s="51"/>
      <c r="K48" s="52"/>
      <c r="L48" s="52"/>
      <c r="M48" s="53"/>
      <c r="N48" s="54"/>
      <c r="O48" s="44"/>
      <c r="P48" s="54"/>
    </row>
  </sheetData>
  <mergeCells count="5">
    <mergeCell ref="J1:P1"/>
    <mergeCell ref="A5:H5"/>
    <mergeCell ref="J6:Q6"/>
    <mergeCell ref="E7:H8"/>
    <mergeCell ref="A1:H3"/>
  </mergeCells>
  <conditionalFormatting sqref="B49">
    <cfRule type="cellIs" dxfId="1" priority="1" operator="lessThan">
      <formula>0</formula>
    </cfRule>
  </conditionalFormatting>
  <dataValidations count="1">
    <dataValidation type="list" allowBlank="1" showInputMessage="1" showErrorMessage="1" sqref="C49" xr:uid="{28E567D5-A208-47F1-BF80-F743074E14C4}">
      <formula1>"GST 10%, GST FREE"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B5C12-20F8-49EB-8BCD-48F72D3F6637}">
  <sheetPr>
    <tabColor theme="9" tint="0.79998168889431442"/>
  </sheetPr>
  <dimension ref="A1:R16"/>
  <sheetViews>
    <sheetView topLeftCell="C1" workbookViewId="0">
      <selection activeCell="R8" sqref="R8:R9"/>
    </sheetView>
  </sheetViews>
  <sheetFormatPr defaultRowHeight="12.75" x14ac:dyDescent="0.2"/>
  <cols>
    <col min="1" max="1" width="17.42578125" style="3" customWidth="1"/>
    <col min="2" max="2" width="47.42578125" customWidth="1"/>
    <col min="3" max="3" width="13.5703125" customWidth="1"/>
    <col min="4" max="4" width="16.42578125" customWidth="1"/>
    <col min="5" max="5" width="11.85546875" customWidth="1"/>
    <col min="6" max="6" width="14.140625" bestFit="1" customWidth="1"/>
    <col min="7" max="7" width="13.42578125" bestFit="1" customWidth="1"/>
    <col min="8" max="8" width="15.5703125" customWidth="1"/>
    <col min="9" max="9" width="2.42578125" customWidth="1"/>
    <col min="10" max="10" width="21.85546875" bestFit="1" customWidth="1"/>
    <col min="11" max="11" width="33.42578125" customWidth="1"/>
    <col min="12" max="12" width="4" bestFit="1" customWidth="1"/>
    <col min="15" max="15" width="21.42578125" customWidth="1"/>
    <col min="16" max="16" width="15.85546875" customWidth="1"/>
  </cols>
  <sheetData>
    <row r="1" spans="1:18" ht="12" customHeight="1" x14ac:dyDescent="0.2">
      <c r="A1" s="118" t="s">
        <v>12</v>
      </c>
      <c r="B1" s="119"/>
      <c r="C1" s="119"/>
      <c r="D1" s="119"/>
      <c r="E1" s="119"/>
      <c r="F1" s="119"/>
      <c r="G1" s="119"/>
      <c r="H1" s="119"/>
      <c r="J1" s="113" t="s">
        <v>13</v>
      </c>
      <c r="K1" s="113"/>
      <c r="L1" s="113"/>
      <c r="M1" s="113"/>
      <c r="N1" s="113"/>
      <c r="O1" s="113"/>
      <c r="P1" s="113"/>
    </row>
    <row r="2" spans="1:18" ht="12" customHeight="1" x14ac:dyDescent="0.2">
      <c r="A2" s="118"/>
      <c r="B2" s="119"/>
      <c r="C2" s="119"/>
      <c r="D2" s="119"/>
      <c r="E2" s="119"/>
      <c r="F2" s="119"/>
      <c r="G2" s="119"/>
      <c r="H2" s="119"/>
      <c r="J2" s="74" t="s">
        <v>508</v>
      </c>
      <c r="K2" s="88">
        <v>315.62</v>
      </c>
      <c r="L2" s="74"/>
      <c r="M2" s="74"/>
      <c r="N2" s="74"/>
      <c r="O2" s="74"/>
      <c r="P2" s="74"/>
    </row>
    <row r="3" spans="1:18" ht="12" customHeight="1" x14ac:dyDescent="0.2">
      <c r="A3" s="118"/>
      <c r="B3" s="119"/>
      <c r="C3" s="119"/>
      <c r="D3" s="119"/>
      <c r="E3" s="119"/>
      <c r="F3" s="119"/>
      <c r="G3" s="119"/>
      <c r="H3" s="119"/>
      <c r="J3" t="s">
        <v>509</v>
      </c>
      <c r="K3" s="21">
        <f>SUM(M9:M144)</f>
        <v>315.62</v>
      </c>
    </row>
    <row r="4" spans="1:18" ht="12" customHeight="1" x14ac:dyDescent="0.2">
      <c r="A4" s="114" t="s">
        <v>385</v>
      </c>
      <c r="B4" s="113"/>
      <c r="C4" s="113"/>
      <c r="D4" s="113"/>
      <c r="E4" s="113"/>
      <c r="F4" s="113"/>
      <c r="G4" s="113"/>
      <c r="H4" s="113"/>
      <c r="J4" t="s">
        <v>510</v>
      </c>
      <c r="K4" s="21">
        <f>K2-K3</f>
        <v>0</v>
      </c>
    </row>
    <row r="5" spans="1:18" ht="12" customHeight="1" x14ac:dyDescent="0.2">
      <c r="A5" s="9" t="s">
        <v>3</v>
      </c>
      <c r="B5" s="10" t="str">
        <f>CONCATENATE(Header!$E$4,"Zhang")</f>
        <v>MC-250816Zhang</v>
      </c>
      <c r="C5" s="8"/>
      <c r="D5" s="8"/>
      <c r="E5" s="8"/>
      <c r="J5" s="115" t="s">
        <v>15</v>
      </c>
      <c r="K5" s="115"/>
      <c r="L5" s="115"/>
      <c r="M5" s="115"/>
      <c r="N5" s="115"/>
      <c r="O5" s="115"/>
      <c r="P5" s="115"/>
      <c r="Q5" s="115"/>
    </row>
    <row r="6" spans="1:18" ht="12" customHeight="1" x14ac:dyDescent="0.2">
      <c r="A6" s="9" t="s">
        <v>5</v>
      </c>
      <c r="B6" s="12">
        <f>Header!$E$5</f>
        <v>45885</v>
      </c>
      <c r="C6" s="8"/>
      <c r="D6" s="8"/>
      <c r="E6" s="116" t="s">
        <v>16</v>
      </c>
      <c r="F6" s="116"/>
      <c r="G6" s="116"/>
      <c r="H6" s="116"/>
    </row>
    <row r="7" spans="1:18" ht="12" customHeight="1" thickBot="1" x14ac:dyDescent="0.25">
      <c r="A7" s="11"/>
      <c r="B7" s="8"/>
      <c r="C7" s="8"/>
      <c r="D7" s="8"/>
      <c r="E7" s="117"/>
      <c r="F7" s="117"/>
      <c r="G7" s="117"/>
      <c r="H7" s="117"/>
    </row>
    <row r="8" spans="1:18" ht="45.75" thickBot="1" x14ac:dyDescent="0.25">
      <c r="A8" s="32" t="s">
        <v>17</v>
      </c>
      <c r="B8" s="33" t="s">
        <v>18</v>
      </c>
      <c r="C8" s="33" t="s">
        <v>19</v>
      </c>
      <c r="D8" s="33" t="s">
        <v>20</v>
      </c>
      <c r="E8" s="19" t="s">
        <v>36</v>
      </c>
      <c r="F8" s="16" t="s">
        <v>22</v>
      </c>
      <c r="G8" s="17" t="s">
        <v>23</v>
      </c>
      <c r="H8" s="18" t="s">
        <v>24</v>
      </c>
      <c r="J8" s="32" t="s">
        <v>25</v>
      </c>
      <c r="K8" s="33" t="s">
        <v>3</v>
      </c>
      <c r="L8" s="33" t="s">
        <v>26</v>
      </c>
      <c r="M8" s="33" t="s">
        <v>27</v>
      </c>
      <c r="N8" s="34" t="s">
        <v>28</v>
      </c>
      <c r="O8" s="34" t="s">
        <v>29</v>
      </c>
      <c r="P8" s="34" t="s">
        <v>30</v>
      </c>
      <c r="R8" s="90" t="s">
        <v>511</v>
      </c>
    </row>
    <row r="9" spans="1:18" ht="15.75" thickBot="1" x14ac:dyDescent="0.25">
      <c r="A9" s="45">
        <v>45883</v>
      </c>
      <c r="B9" s="45" t="s">
        <v>386</v>
      </c>
      <c r="C9" s="46">
        <v>37.4</v>
      </c>
      <c r="D9" s="46"/>
      <c r="E9" s="14" t="s">
        <v>449</v>
      </c>
      <c r="F9" s="49">
        <v>1053</v>
      </c>
      <c r="G9" s="14" t="s">
        <v>232</v>
      </c>
      <c r="H9" s="15"/>
      <c r="J9" s="51" t="str">
        <f t="shared" ref="J9:J12" si="0">IF(F9&gt;0,(_xlfn.CONCAT(F9,".",G9)),H9)</f>
        <v>1053.TRAV</v>
      </c>
      <c r="K9" s="52" t="str">
        <f>_xlfn.CONCAT("N Zhang-",(LEFT(B9,15)),"-",E9)</f>
        <v>N Zhang-SQ *LILY DANG B-Dinner</v>
      </c>
      <c r="L9" s="52" t="s">
        <v>32</v>
      </c>
      <c r="M9" s="53">
        <f>IF(C9&gt;0,C9,-D9)</f>
        <v>37.4</v>
      </c>
      <c r="N9" s="54" t="s">
        <v>33</v>
      </c>
      <c r="O9" s="44"/>
      <c r="P9" s="55"/>
      <c r="Q9" t="s">
        <v>34</v>
      </c>
      <c r="R9" s="21">
        <f>LEN(K9)</f>
        <v>30</v>
      </c>
    </row>
    <row r="10" spans="1:18" ht="15.75" thickBot="1" x14ac:dyDescent="0.25">
      <c r="A10" s="47">
        <v>45879</v>
      </c>
      <c r="B10" s="47" t="s">
        <v>387</v>
      </c>
      <c r="C10" s="48">
        <v>18.71</v>
      </c>
      <c r="D10" s="48"/>
      <c r="E10" s="13" t="s">
        <v>450</v>
      </c>
      <c r="F10" s="50">
        <v>1053</v>
      </c>
      <c r="G10" s="13" t="s">
        <v>232</v>
      </c>
      <c r="H10" s="50"/>
      <c r="J10" s="51" t="str">
        <f t="shared" si="0"/>
        <v>1053.TRAV</v>
      </c>
      <c r="K10" s="52" t="str">
        <f t="shared" ref="K10:K12" si="1">_xlfn.CONCAT("N Zhang-",(LEFT(B10,15)),"-",E10)</f>
        <v>N Zhang-Watermark Masco-Food</v>
      </c>
      <c r="L10" s="52" t="s">
        <v>32</v>
      </c>
      <c r="M10" s="53">
        <f t="shared" ref="M10:M12" si="2">IF(C10&gt;0,C10,-D10)</f>
        <v>18.71</v>
      </c>
      <c r="N10" s="54" t="s">
        <v>33</v>
      </c>
      <c r="O10" s="44"/>
      <c r="P10" s="54"/>
      <c r="R10" s="21">
        <f t="shared" ref="R10:R16" si="3">LEN(K10)</f>
        <v>28</v>
      </c>
    </row>
    <row r="11" spans="1:18" ht="15.75" thickBot="1" x14ac:dyDescent="0.25">
      <c r="A11" s="47">
        <v>45867</v>
      </c>
      <c r="B11" s="47" t="s">
        <v>388</v>
      </c>
      <c r="C11" s="48">
        <v>169.51</v>
      </c>
      <c r="D11" s="48"/>
      <c r="E11" s="13" t="s">
        <v>451</v>
      </c>
      <c r="F11" s="50">
        <v>1053</v>
      </c>
      <c r="G11" s="50" t="s">
        <v>232</v>
      </c>
      <c r="H11" s="13"/>
      <c r="J11" s="51" t="str">
        <f>IF(F11&gt;0,(_xlfn.CONCAT(F11,".",G11)),H11)</f>
        <v>1053.TRAV</v>
      </c>
      <c r="K11" s="52" t="str">
        <f t="shared" si="1"/>
        <v>N Zhang-SYD APRT EPARK -Airport Parking</v>
      </c>
      <c r="L11" s="52" t="s">
        <v>32</v>
      </c>
      <c r="M11" s="53">
        <f t="shared" si="2"/>
        <v>169.51</v>
      </c>
      <c r="N11" s="54" t="s">
        <v>33</v>
      </c>
      <c r="O11" s="44"/>
      <c r="P11" s="54"/>
      <c r="R11" s="21">
        <f t="shared" si="3"/>
        <v>39</v>
      </c>
    </row>
    <row r="12" spans="1:18" ht="15.75" thickBot="1" x14ac:dyDescent="0.25">
      <c r="A12" s="47">
        <v>45867</v>
      </c>
      <c r="B12" s="47" t="s">
        <v>160</v>
      </c>
      <c r="C12" s="48">
        <v>90</v>
      </c>
      <c r="D12" s="48"/>
      <c r="E12" s="13" t="s">
        <v>452</v>
      </c>
      <c r="F12" s="50">
        <v>1053</v>
      </c>
      <c r="G12" s="13" t="s">
        <v>232</v>
      </c>
      <c r="H12" s="50"/>
      <c r="J12" s="51" t="str">
        <f t="shared" si="0"/>
        <v>1053.TRAV</v>
      </c>
      <c r="K12" s="52" t="str">
        <f t="shared" si="1"/>
        <v>N Zhang-Airport Shuttle-Bus to Ballarat</v>
      </c>
      <c r="L12" s="52" t="s">
        <v>32</v>
      </c>
      <c r="M12" s="53">
        <f t="shared" si="2"/>
        <v>90</v>
      </c>
      <c r="N12" s="54" t="s">
        <v>33</v>
      </c>
      <c r="O12" s="44"/>
      <c r="P12" s="54"/>
      <c r="R12" s="21">
        <f t="shared" si="3"/>
        <v>39</v>
      </c>
    </row>
    <row r="13" spans="1:18" ht="15.75" thickBot="1" x14ac:dyDescent="0.25">
      <c r="A13" s="47"/>
      <c r="B13" s="47"/>
      <c r="C13" s="48"/>
      <c r="D13" s="48"/>
      <c r="E13" s="13"/>
      <c r="F13" s="13"/>
      <c r="G13" s="13"/>
      <c r="H13" s="13"/>
      <c r="J13" s="51"/>
      <c r="K13" s="52"/>
      <c r="L13" s="52"/>
      <c r="M13" s="53"/>
      <c r="N13" s="54"/>
      <c r="O13" s="44"/>
      <c r="P13" s="54"/>
      <c r="R13" s="21">
        <f t="shared" si="3"/>
        <v>0</v>
      </c>
    </row>
    <row r="14" spans="1:18" ht="15.75" thickBot="1" x14ac:dyDescent="0.25">
      <c r="A14" s="47"/>
      <c r="B14" s="47"/>
      <c r="C14" s="48"/>
      <c r="D14" s="48"/>
      <c r="E14" s="13"/>
      <c r="F14" s="13"/>
      <c r="G14" s="13"/>
      <c r="H14" s="13"/>
      <c r="J14" s="51"/>
      <c r="K14" s="52"/>
      <c r="L14" s="52"/>
      <c r="M14" s="53"/>
      <c r="N14" s="54"/>
      <c r="O14" s="44"/>
      <c r="P14" s="54"/>
      <c r="R14" s="21">
        <f t="shared" si="3"/>
        <v>0</v>
      </c>
    </row>
    <row r="15" spans="1:18" ht="15.75" thickBot="1" x14ac:dyDescent="0.25">
      <c r="A15" s="47"/>
      <c r="B15" s="47"/>
      <c r="C15" s="48"/>
      <c r="D15" s="48"/>
      <c r="E15" s="13"/>
      <c r="F15" s="13"/>
      <c r="G15" s="13"/>
      <c r="H15" s="13"/>
      <c r="J15" s="51"/>
      <c r="K15" s="52"/>
      <c r="L15" s="52"/>
      <c r="M15" s="53"/>
      <c r="N15" s="54"/>
      <c r="O15" s="44"/>
      <c r="P15" s="54"/>
      <c r="R15" s="21">
        <f t="shared" si="3"/>
        <v>0</v>
      </c>
    </row>
    <row r="16" spans="1:18" ht="15.75" thickBot="1" x14ac:dyDescent="0.25">
      <c r="A16" s="47"/>
      <c r="B16" s="47"/>
      <c r="C16" s="48"/>
      <c r="D16" s="48"/>
      <c r="E16" s="13"/>
      <c r="F16" s="13"/>
      <c r="G16" s="13"/>
      <c r="H16" s="13"/>
      <c r="J16" s="51"/>
      <c r="K16" s="52"/>
      <c r="L16" s="52"/>
      <c r="M16" s="53"/>
      <c r="N16" s="54"/>
      <c r="O16" s="44"/>
      <c r="P16" s="54"/>
      <c r="R16" s="21">
        <f t="shared" si="3"/>
        <v>0</v>
      </c>
    </row>
  </sheetData>
  <mergeCells count="5">
    <mergeCell ref="J1:P1"/>
    <mergeCell ref="A4:H4"/>
    <mergeCell ref="J5:Q5"/>
    <mergeCell ref="E6:H7"/>
    <mergeCell ref="A1:H3"/>
  </mergeCells>
  <conditionalFormatting sqref="B16:B48">
    <cfRule type="cellIs" dxfId="0" priority="1" operator="lessThan">
      <formula>0</formula>
    </cfRule>
  </conditionalFormatting>
  <dataValidations count="1">
    <dataValidation type="list" allowBlank="1" showInputMessage="1" showErrorMessage="1" sqref="C16:C48" xr:uid="{EBCB5178-E5B7-4DED-9C3B-107309EE0B71}">
      <formula1>"GST 10%, GST FREE"</formula1>
    </dataValidation>
  </dataValidation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L466"/>
  <sheetViews>
    <sheetView workbookViewId="0">
      <pane ySplit="1" topLeftCell="A2" activePane="bottomLeft" state="frozen"/>
      <selection activeCell="E38" sqref="E38"/>
      <selection pane="bottomLeft" activeCell="E21" sqref="E21"/>
    </sheetView>
  </sheetViews>
  <sheetFormatPr defaultRowHeight="12.75" x14ac:dyDescent="0.2"/>
  <cols>
    <col min="1" max="1" width="14.140625" bestFit="1" customWidth="1"/>
    <col min="2" max="2" width="17.42578125" bestFit="1" customWidth="1"/>
    <col min="3" max="3" width="13.42578125" bestFit="1" customWidth="1"/>
    <col min="4" max="5" width="50.5703125" customWidth="1"/>
    <col min="6" max="7" width="17.42578125" style="21" bestFit="1" customWidth="1"/>
    <col min="8" max="8" width="10.42578125" bestFit="1" customWidth="1"/>
    <col min="11" max="11" width="10.5703125" customWidth="1"/>
    <col min="12" max="12" width="15.42578125" bestFit="1" customWidth="1"/>
  </cols>
  <sheetData>
    <row r="1" spans="1:12" x14ac:dyDescent="0.2">
      <c r="B1" t="s">
        <v>389</v>
      </c>
      <c r="C1" t="s">
        <v>390</v>
      </c>
      <c r="D1" t="s">
        <v>391</v>
      </c>
      <c r="F1" s="21" t="s">
        <v>392</v>
      </c>
      <c r="G1" s="21" t="s">
        <v>393</v>
      </c>
      <c r="K1" t="s">
        <v>394</v>
      </c>
      <c r="L1" t="s">
        <v>395</v>
      </c>
    </row>
    <row r="2" spans="1:12" ht="13.5" thickBot="1" x14ac:dyDescent="0.25">
      <c r="A2" s="22" t="str">
        <f t="shared" ref="A2:A65" si="0">VLOOKUP(B2,$K$2:$L$29,2,FALSE)</f>
        <v>Baker</v>
      </c>
      <c r="B2" s="23">
        <v>6547</v>
      </c>
      <c r="C2" s="24">
        <v>45862</v>
      </c>
      <c r="D2" s="23" t="s">
        <v>31</v>
      </c>
      <c r="E2" s="89" t="str">
        <f t="shared" ref="E2:E65" si="1">LEFT(D2,15)</f>
        <v>BUNNINGS 329000</v>
      </c>
      <c r="F2" s="28">
        <v>98.96</v>
      </c>
      <c r="G2" s="28"/>
      <c r="H2" s="23"/>
      <c r="K2" s="25">
        <v>6547</v>
      </c>
      <c r="L2" t="s">
        <v>396</v>
      </c>
    </row>
    <row r="3" spans="1:12" ht="15.75" thickBot="1" x14ac:dyDescent="0.3">
      <c r="A3" s="22" t="str">
        <f t="shared" si="0"/>
        <v>Barclay</v>
      </c>
      <c r="B3" s="23">
        <v>6341</v>
      </c>
      <c r="C3" s="27">
        <v>45884</v>
      </c>
      <c r="D3" s="23" t="s">
        <v>37</v>
      </c>
      <c r="E3" s="89" t="str">
        <f t="shared" si="1"/>
        <v xml:space="preserve">WOOLWORTHS     </v>
      </c>
      <c r="F3" s="28">
        <v>216.27</v>
      </c>
      <c r="G3" s="28"/>
      <c r="H3" s="23"/>
      <c r="K3" s="26">
        <v>6341</v>
      </c>
      <c r="L3" t="s">
        <v>397</v>
      </c>
    </row>
    <row r="4" spans="1:12" ht="13.5" thickBot="1" x14ac:dyDescent="0.25">
      <c r="A4" s="22" t="str">
        <f t="shared" si="0"/>
        <v>Barclay</v>
      </c>
      <c r="B4" s="23">
        <v>6341</v>
      </c>
      <c r="C4" s="27">
        <v>45876</v>
      </c>
      <c r="D4" s="23" t="s">
        <v>37</v>
      </c>
      <c r="E4" s="89" t="str">
        <f t="shared" si="1"/>
        <v xml:space="preserve">WOOLWORTHS     </v>
      </c>
      <c r="F4" s="28">
        <v>93.93</v>
      </c>
      <c r="G4" s="28"/>
      <c r="H4" s="23"/>
      <c r="K4" s="25">
        <v>4137</v>
      </c>
      <c r="L4" t="s">
        <v>398</v>
      </c>
    </row>
    <row r="5" spans="1:12" ht="13.5" thickBot="1" x14ac:dyDescent="0.25">
      <c r="A5" s="22" t="str">
        <f t="shared" si="0"/>
        <v>Barclay</v>
      </c>
      <c r="B5" s="23">
        <v>6341</v>
      </c>
      <c r="C5" s="27">
        <v>45871</v>
      </c>
      <c r="D5" s="23" t="s">
        <v>38</v>
      </c>
      <c r="E5" s="89" t="str">
        <f t="shared" si="1"/>
        <v>LINKT MELBOURNE</v>
      </c>
      <c r="F5" s="28">
        <v>33.92</v>
      </c>
      <c r="G5" s="28"/>
      <c r="H5" s="23"/>
      <c r="K5" s="25">
        <v>7173</v>
      </c>
      <c r="L5" t="s">
        <v>399</v>
      </c>
    </row>
    <row r="6" spans="1:12" ht="15.75" thickBot="1" x14ac:dyDescent="0.3">
      <c r="A6" s="22" t="str">
        <f t="shared" si="0"/>
        <v>Barclay</v>
      </c>
      <c r="B6" s="23">
        <v>6341</v>
      </c>
      <c r="C6" s="27">
        <v>45869</v>
      </c>
      <c r="D6" s="23" t="s">
        <v>39</v>
      </c>
      <c r="E6" s="89" t="str">
        <f t="shared" si="1"/>
        <v>OFFICEWORKS 036</v>
      </c>
      <c r="F6" s="28">
        <v>58</v>
      </c>
      <c r="G6" s="28"/>
      <c r="H6" s="23"/>
      <c r="K6" s="26">
        <v>4265</v>
      </c>
      <c r="L6" t="s">
        <v>400</v>
      </c>
    </row>
    <row r="7" spans="1:12" ht="13.5" thickBot="1" x14ac:dyDescent="0.25">
      <c r="A7" s="22" t="str">
        <f t="shared" si="0"/>
        <v>Barclay</v>
      </c>
      <c r="B7" s="23">
        <v>6341</v>
      </c>
      <c r="C7" s="27">
        <v>45868</v>
      </c>
      <c r="D7" s="23" t="s">
        <v>40</v>
      </c>
      <c r="E7" s="89" t="str">
        <f t="shared" si="1"/>
        <v>J AND M CATERIN</v>
      </c>
      <c r="F7" s="28">
        <v>77.5</v>
      </c>
      <c r="G7" s="28"/>
      <c r="H7" s="23"/>
      <c r="K7" s="25">
        <v>7718</v>
      </c>
      <c r="L7" t="s">
        <v>401</v>
      </c>
    </row>
    <row r="8" spans="1:12" ht="13.5" thickBot="1" x14ac:dyDescent="0.25">
      <c r="A8" s="22" t="str">
        <f t="shared" si="0"/>
        <v>Barclay</v>
      </c>
      <c r="B8" s="23">
        <v>6341</v>
      </c>
      <c r="C8" s="27">
        <v>45866</v>
      </c>
      <c r="D8" s="23" t="s">
        <v>31</v>
      </c>
      <c r="E8" s="89" t="str">
        <f t="shared" si="1"/>
        <v>BUNNINGS 329000</v>
      </c>
      <c r="F8" s="28">
        <v>53.35</v>
      </c>
      <c r="G8" s="28"/>
      <c r="H8" s="23"/>
      <c r="K8" s="25">
        <v>2571</v>
      </c>
      <c r="L8" t="s">
        <v>402</v>
      </c>
    </row>
    <row r="9" spans="1:12" ht="13.5" thickBot="1" x14ac:dyDescent="0.25">
      <c r="A9" s="22" t="str">
        <f t="shared" si="0"/>
        <v>Bell</v>
      </c>
      <c r="B9" s="23">
        <v>4137</v>
      </c>
      <c r="C9" s="27">
        <v>45884</v>
      </c>
      <c r="D9" s="23" t="s">
        <v>42</v>
      </c>
      <c r="E9" s="89" t="str">
        <f t="shared" si="1"/>
        <v>UBER *TRIP HELP</v>
      </c>
      <c r="F9" s="28">
        <v>33.67</v>
      </c>
      <c r="G9" s="28"/>
      <c r="H9" s="23"/>
      <c r="K9" s="25">
        <v>3601</v>
      </c>
      <c r="L9" t="s">
        <v>403</v>
      </c>
    </row>
    <row r="10" spans="1:12" ht="13.5" thickBot="1" x14ac:dyDescent="0.25">
      <c r="A10" s="22" t="str">
        <f t="shared" si="0"/>
        <v>Bell</v>
      </c>
      <c r="B10" s="22">
        <v>4137</v>
      </c>
      <c r="C10" s="27">
        <v>45883</v>
      </c>
      <c r="D10" t="s">
        <v>43</v>
      </c>
      <c r="E10" s="89" t="str">
        <f t="shared" si="1"/>
        <v>MCDONALDS WENDO</v>
      </c>
      <c r="F10" s="21">
        <v>9.6999999999999993</v>
      </c>
      <c r="H10" s="23"/>
      <c r="K10" s="25">
        <v>1694</v>
      </c>
      <c r="L10" s="22" t="s">
        <v>404</v>
      </c>
    </row>
    <row r="11" spans="1:12" ht="15.75" thickBot="1" x14ac:dyDescent="0.3">
      <c r="A11" s="22" t="str">
        <f t="shared" si="0"/>
        <v>Bell</v>
      </c>
      <c r="B11" s="22">
        <v>4137</v>
      </c>
      <c r="C11" s="27">
        <v>45882</v>
      </c>
      <c r="D11" t="s">
        <v>43</v>
      </c>
      <c r="E11" s="89" t="str">
        <f t="shared" si="1"/>
        <v>MCDONALDS WENDO</v>
      </c>
      <c r="F11" s="21">
        <v>9.6999999999999993</v>
      </c>
      <c r="H11" s="23"/>
      <c r="K11" s="26">
        <v>3540</v>
      </c>
      <c r="L11" t="s">
        <v>405</v>
      </c>
    </row>
    <row r="12" spans="1:12" ht="13.5" thickBot="1" x14ac:dyDescent="0.25">
      <c r="A12" s="22" t="str">
        <f t="shared" si="0"/>
        <v>Bell</v>
      </c>
      <c r="B12" s="23">
        <v>4137</v>
      </c>
      <c r="C12" s="27">
        <v>45881</v>
      </c>
      <c r="D12" s="23" t="s">
        <v>43</v>
      </c>
      <c r="E12" s="89" t="str">
        <f t="shared" si="1"/>
        <v>MCDONALDS WENDO</v>
      </c>
      <c r="F12" s="28">
        <v>15.8</v>
      </c>
      <c r="G12" s="28"/>
      <c r="H12" s="23"/>
      <c r="K12" s="25">
        <v>8338</v>
      </c>
      <c r="L12" t="s">
        <v>406</v>
      </c>
    </row>
    <row r="13" spans="1:12" ht="13.5" thickBot="1" x14ac:dyDescent="0.25">
      <c r="A13" s="22" t="str">
        <f t="shared" si="0"/>
        <v>Bell</v>
      </c>
      <c r="B13" s="23">
        <v>4137</v>
      </c>
      <c r="C13" s="27">
        <v>45881</v>
      </c>
      <c r="D13" t="s">
        <v>44</v>
      </c>
      <c r="E13" s="89" t="str">
        <f t="shared" si="1"/>
        <v>North Star Hote</v>
      </c>
      <c r="F13" s="21">
        <v>156.88</v>
      </c>
      <c r="H13" s="23"/>
      <c r="K13" s="25">
        <v>7601</v>
      </c>
      <c r="L13" t="s">
        <v>407</v>
      </c>
    </row>
    <row r="14" spans="1:12" ht="15.75" thickBot="1" x14ac:dyDescent="0.3">
      <c r="A14" s="22" t="str">
        <f t="shared" si="0"/>
        <v>Bell</v>
      </c>
      <c r="B14" s="23">
        <v>4137</v>
      </c>
      <c r="C14" s="27">
        <v>45880</v>
      </c>
      <c r="D14" t="s">
        <v>43</v>
      </c>
      <c r="E14" s="89" t="str">
        <f t="shared" si="1"/>
        <v>MCDONALDS WENDO</v>
      </c>
      <c r="F14" s="21">
        <v>9.6999999999999993</v>
      </c>
      <c r="H14" s="23"/>
      <c r="K14" s="26">
        <v>9020</v>
      </c>
      <c r="L14" t="s">
        <v>408</v>
      </c>
    </row>
    <row r="15" spans="1:12" ht="15.75" thickBot="1" x14ac:dyDescent="0.3">
      <c r="A15" s="22" t="str">
        <f t="shared" si="0"/>
        <v>Bell</v>
      </c>
      <c r="B15" s="23">
        <v>4137</v>
      </c>
      <c r="C15" s="27">
        <v>45880</v>
      </c>
      <c r="D15" t="s">
        <v>45</v>
      </c>
      <c r="E15" s="89" t="str">
        <f t="shared" si="1"/>
        <v>THE CITY OVAL H</v>
      </c>
      <c r="F15" s="21">
        <v>25.07</v>
      </c>
      <c r="H15" s="23"/>
      <c r="K15" s="26">
        <v>3035</v>
      </c>
      <c r="L15" t="s">
        <v>409</v>
      </c>
    </row>
    <row r="16" spans="1:12" ht="13.5" thickBot="1" x14ac:dyDescent="0.25">
      <c r="A16" s="22" t="str">
        <f t="shared" si="0"/>
        <v>Bell</v>
      </c>
      <c r="B16" s="23">
        <v>4137</v>
      </c>
      <c r="C16" s="27">
        <v>45879</v>
      </c>
      <c r="D16" s="23" t="s">
        <v>46</v>
      </c>
      <c r="E16" s="89" t="str">
        <f t="shared" si="1"/>
        <v xml:space="preserve">DELAWARE NORTH </v>
      </c>
      <c r="F16" s="28">
        <v>6.9</v>
      </c>
      <c r="G16" s="28"/>
      <c r="H16" s="23"/>
      <c r="K16" s="25">
        <v>3599</v>
      </c>
      <c r="L16" t="s">
        <v>410</v>
      </c>
    </row>
    <row r="17" spans="1:12" ht="13.5" thickBot="1" x14ac:dyDescent="0.25">
      <c r="A17" s="22" t="str">
        <f t="shared" si="0"/>
        <v>Bell</v>
      </c>
      <c r="B17" s="23">
        <v>4137</v>
      </c>
      <c r="C17" s="27">
        <v>45879</v>
      </c>
      <c r="D17" s="23" t="s">
        <v>47</v>
      </c>
      <c r="E17" s="89" t="str">
        <f t="shared" si="1"/>
        <v>GRILL'D BALLARA</v>
      </c>
      <c r="F17" s="28">
        <v>51.7</v>
      </c>
      <c r="G17" s="28"/>
      <c r="H17" s="23"/>
      <c r="K17" s="25">
        <v>1929</v>
      </c>
      <c r="L17" t="s">
        <v>411</v>
      </c>
    </row>
    <row r="18" spans="1:12" ht="13.5" thickBot="1" x14ac:dyDescent="0.25">
      <c r="A18" s="22" t="str">
        <f t="shared" si="0"/>
        <v>Bell</v>
      </c>
      <c r="B18" s="23">
        <v>4137</v>
      </c>
      <c r="C18" s="27">
        <v>45879</v>
      </c>
      <c r="D18" t="s">
        <v>48</v>
      </c>
      <c r="E18" s="89" t="str">
        <f t="shared" si="1"/>
        <v>ZLR*M1FLATC Mel</v>
      </c>
      <c r="F18" s="21">
        <v>22.9</v>
      </c>
      <c r="H18" s="23"/>
      <c r="K18" s="25">
        <v>4138</v>
      </c>
      <c r="L18" t="s">
        <v>412</v>
      </c>
    </row>
    <row r="19" spans="1:12" ht="15.75" thickBot="1" x14ac:dyDescent="0.3">
      <c r="A19" s="22" t="str">
        <f t="shared" si="0"/>
        <v>Bell</v>
      </c>
      <c r="B19" s="23">
        <v>4137</v>
      </c>
      <c r="C19" s="27">
        <v>45879</v>
      </c>
      <c r="D19" t="s">
        <v>42</v>
      </c>
      <c r="E19" s="89" t="str">
        <f t="shared" si="1"/>
        <v>UBER *TRIP HELP</v>
      </c>
      <c r="F19" s="21">
        <v>38</v>
      </c>
      <c r="H19" s="23"/>
      <c r="K19" s="26">
        <v>5337</v>
      </c>
      <c r="L19" t="s">
        <v>413</v>
      </c>
    </row>
    <row r="20" spans="1:12" ht="15.75" thickBot="1" x14ac:dyDescent="0.3">
      <c r="A20" s="22" t="str">
        <f t="shared" si="0"/>
        <v>Bell</v>
      </c>
      <c r="B20" s="23">
        <v>4137</v>
      </c>
      <c r="C20" s="27">
        <v>45878</v>
      </c>
      <c r="D20" s="23" t="s">
        <v>42</v>
      </c>
      <c r="E20" s="89" t="str">
        <f t="shared" si="1"/>
        <v>UBER *TRIP HELP</v>
      </c>
      <c r="F20" s="28">
        <v>32.4</v>
      </c>
      <c r="G20" s="28"/>
      <c r="H20" s="23"/>
      <c r="K20" s="26">
        <v>5635</v>
      </c>
      <c r="L20" t="s">
        <v>414</v>
      </c>
    </row>
    <row r="21" spans="1:12" ht="13.5" thickBot="1" x14ac:dyDescent="0.25">
      <c r="A21" s="22" t="str">
        <f t="shared" si="0"/>
        <v>Bell</v>
      </c>
      <c r="B21" s="23">
        <v>4137</v>
      </c>
      <c r="C21" s="27">
        <v>45878</v>
      </c>
      <c r="D21" s="23" t="s">
        <v>42</v>
      </c>
      <c r="E21" s="89" t="str">
        <f t="shared" si="1"/>
        <v>UBER *TRIP HELP</v>
      </c>
      <c r="F21" s="28">
        <v>21.55</v>
      </c>
      <c r="G21" s="28"/>
      <c r="H21" s="23"/>
      <c r="K21" s="25">
        <v>8624</v>
      </c>
      <c r="L21" t="s">
        <v>415</v>
      </c>
    </row>
    <row r="22" spans="1:12" ht="15.75" thickBot="1" x14ac:dyDescent="0.3">
      <c r="A22" s="22" t="str">
        <f t="shared" si="0"/>
        <v>Bell</v>
      </c>
      <c r="B22" s="23">
        <v>4137</v>
      </c>
      <c r="C22" s="27">
        <v>45878</v>
      </c>
      <c r="D22" t="s">
        <v>42</v>
      </c>
      <c r="E22" s="89" t="str">
        <f t="shared" si="1"/>
        <v>UBER *TRIP HELP</v>
      </c>
      <c r="F22" s="21">
        <v>19.93</v>
      </c>
      <c r="H22" s="23"/>
      <c r="K22" s="26">
        <v>9664</v>
      </c>
      <c r="L22" t="s">
        <v>416</v>
      </c>
    </row>
    <row r="23" spans="1:12" ht="15.75" thickBot="1" x14ac:dyDescent="0.3">
      <c r="A23" s="22" t="str">
        <f t="shared" si="0"/>
        <v>Bell</v>
      </c>
      <c r="B23" s="23">
        <v>4137</v>
      </c>
      <c r="C23" s="27">
        <v>45877</v>
      </c>
      <c r="D23" t="s">
        <v>49</v>
      </c>
      <c r="E23" s="89" t="str">
        <f t="shared" si="1"/>
        <v xml:space="preserve">VIBE PETROLEUM </v>
      </c>
      <c r="F23" s="21">
        <v>97.11</v>
      </c>
      <c r="H23" s="23"/>
      <c r="K23" s="26">
        <v>6087</v>
      </c>
      <c r="L23" t="s">
        <v>417</v>
      </c>
    </row>
    <row r="24" spans="1:12" ht="15.75" thickBot="1" x14ac:dyDescent="0.3">
      <c r="A24" s="22" t="str">
        <f t="shared" si="0"/>
        <v>Bell</v>
      </c>
      <c r="B24" s="23">
        <v>4137</v>
      </c>
      <c r="C24" s="27">
        <v>45877</v>
      </c>
      <c r="D24" t="s">
        <v>42</v>
      </c>
      <c r="E24" s="89" t="str">
        <f t="shared" si="1"/>
        <v>UBER *TRIP HELP</v>
      </c>
      <c r="F24" s="21">
        <v>25.89</v>
      </c>
      <c r="H24" s="23"/>
      <c r="K24" s="26">
        <v>7833</v>
      </c>
      <c r="L24" t="s">
        <v>418</v>
      </c>
    </row>
    <row r="25" spans="1:12" ht="15.75" thickBot="1" x14ac:dyDescent="0.3">
      <c r="A25" s="22" t="str">
        <f t="shared" si="0"/>
        <v>Bell</v>
      </c>
      <c r="B25" s="23">
        <v>4137</v>
      </c>
      <c r="C25" s="27">
        <v>45877</v>
      </c>
      <c r="D25" t="s">
        <v>50</v>
      </c>
      <c r="E25" s="89" t="str">
        <f t="shared" si="1"/>
        <v>BELMONTS CAFE B</v>
      </c>
      <c r="F25" s="21">
        <v>108</v>
      </c>
      <c r="H25" s="23"/>
      <c r="K25" s="26">
        <v>5241</v>
      </c>
      <c r="L25" t="s">
        <v>419</v>
      </c>
    </row>
    <row r="26" spans="1:12" ht="13.5" thickBot="1" x14ac:dyDescent="0.25">
      <c r="A26" s="22" t="str">
        <f t="shared" si="0"/>
        <v>Bell</v>
      </c>
      <c r="B26" s="23">
        <v>4137</v>
      </c>
      <c r="C26" s="27">
        <v>45877</v>
      </c>
      <c r="D26" t="s">
        <v>51</v>
      </c>
      <c r="E26" s="89" t="str">
        <f t="shared" si="1"/>
        <v>SQ *NOURISH KIT</v>
      </c>
      <c r="F26" s="21">
        <v>15.9</v>
      </c>
      <c r="H26" s="23"/>
      <c r="K26" s="25">
        <v>1431</v>
      </c>
      <c r="L26" t="s">
        <v>420</v>
      </c>
    </row>
    <row r="27" spans="1:12" ht="15.75" thickBot="1" x14ac:dyDescent="0.3">
      <c r="A27" s="22" t="str">
        <f t="shared" si="0"/>
        <v>Bell</v>
      </c>
      <c r="B27" s="22">
        <v>4137</v>
      </c>
      <c r="C27" s="27">
        <v>45876</v>
      </c>
      <c r="D27" t="s">
        <v>52</v>
      </c>
      <c r="E27" s="89" t="str">
        <f t="shared" si="1"/>
        <v>BP STHERN CROS1</v>
      </c>
      <c r="F27" s="21">
        <v>17.899999999999999</v>
      </c>
      <c r="H27" s="23"/>
      <c r="K27" s="26">
        <v>9991</v>
      </c>
      <c r="L27" t="s">
        <v>421</v>
      </c>
    </row>
    <row r="28" spans="1:12" ht="15.75" thickBot="1" x14ac:dyDescent="0.3">
      <c r="A28" s="22" t="str">
        <f t="shared" si="0"/>
        <v>Bell</v>
      </c>
      <c r="B28" s="23">
        <v>4137</v>
      </c>
      <c r="C28" s="27">
        <v>45876</v>
      </c>
      <c r="D28" s="23" t="s">
        <v>53</v>
      </c>
      <c r="E28" s="89" t="str">
        <f t="shared" si="1"/>
        <v xml:space="preserve">BP GOLDEN GATE </v>
      </c>
      <c r="F28" s="28">
        <v>105.26</v>
      </c>
      <c r="G28" s="28"/>
      <c r="H28" s="23"/>
      <c r="K28" s="26">
        <v>6594</v>
      </c>
      <c r="L28" t="s">
        <v>422</v>
      </c>
    </row>
    <row r="29" spans="1:12" ht="15.75" thickBot="1" x14ac:dyDescent="0.3">
      <c r="A29" s="22" t="str">
        <f t="shared" si="0"/>
        <v>Bell</v>
      </c>
      <c r="B29" s="23">
        <v>4137</v>
      </c>
      <c r="C29" s="27">
        <v>45874</v>
      </c>
      <c r="D29" s="23" t="s">
        <v>54</v>
      </c>
      <c r="E29" s="89" t="str">
        <f t="shared" si="1"/>
        <v>PALACE HOTEL KA</v>
      </c>
      <c r="F29" s="28">
        <v>13.95</v>
      </c>
      <c r="G29" s="28"/>
      <c r="H29" s="23"/>
      <c r="K29" s="26">
        <v>4130</v>
      </c>
      <c r="L29" t="s">
        <v>423</v>
      </c>
    </row>
    <row r="30" spans="1:12" ht="13.5" thickBot="1" x14ac:dyDescent="0.25">
      <c r="A30" s="22" t="str">
        <f t="shared" si="0"/>
        <v>Bell</v>
      </c>
      <c r="B30" s="23">
        <v>4137</v>
      </c>
      <c r="C30" s="27">
        <v>45874</v>
      </c>
      <c r="D30" t="s">
        <v>54</v>
      </c>
      <c r="E30" s="89" t="str">
        <f t="shared" si="1"/>
        <v>PALACE HOTEL KA</v>
      </c>
      <c r="F30" s="21">
        <v>51.16</v>
      </c>
      <c r="H30" s="23"/>
    </row>
    <row r="31" spans="1:12" ht="13.5" thickBot="1" x14ac:dyDescent="0.25">
      <c r="A31" s="22" t="str">
        <f t="shared" si="0"/>
        <v>Bell</v>
      </c>
      <c r="B31" s="23">
        <v>4137</v>
      </c>
      <c r="C31" s="27">
        <v>45873</v>
      </c>
      <c r="D31" t="s">
        <v>55</v>
      </c>
      <c r="E31" s="89" t="str">
        <f t="shared" si="1"/>
        <v>WIZ PHY KALGOOR</v>
      </c>
      <c r="F31" s="21">
        <v>8.99</v>
      </c>
      <c r="H31" s="23"/>
    </row>
    <row r="32" spans="1:12" ht="13.5" thickBot="1" x14ac:dyDescent="0.25">
      <c r="A32" s="22" t="str">
        <f t="shared" si="0"/>
        <v>Bell</v>
      </c>
      <c r="B32" s="23">
        <v>4137</v>
      </c>
      <c r="C32" s="27">
        <v>45873</v>
      </c>
      <c r="D32" t="s">
        <v>56</v>
      </c>
      <c r="E32" s="89" t="str">
        <f t="shared" si="1"/>
        <v xml:space="preserve">Exchange Hotel </v>
      </c>
      <c r="F32" s="21">
        <v>211.63</v>
      </c>
      <c r="H32" s="23"/>
    </row>
    <row r="33" spans="1:8" ht="13.5" thickBot="1" x14ac:dyDescent="0.25">
      <c r="A33" s="22" t="str">
        <f t="shared" si="0"/>
        <v>Bell</v>
      </c>
      <c r="B33" s="23">
        <v>4137</v>
      </c>
      <c r="C33" s="27">
        <v>45871</v>
      </c>
      <c r="D33" t="s">
        <v>42</v>
      </c>
      <c r="E33" s="89" t="str">
        <f t="shared" si="1"/>
        <v>UBER *TRIP HELP</v>
      </c>
      <c r="F33" s="21">
        <v>44.11</v>
      </c>
      <c r="H33" s="23"/>
    </row>
    <row r="34" spans="1:8" ht="13.5" thickBot="1" x14ac:dyDescent="0.25">
      <c r="A34" s="22" t="str">
        <f t="shared" si="0"/>
        <v>Bell</v>
      </c>
      <c r="B34" s="23">
        <v>4137</v>
      </c>
      <c r="C34" s="27">
        <v>45871</v>
      </c>
      <c r="D34" t="s">
        <v>42</v>
      </c>
      <c r="E34" s="89" t="str">
        <f t="shared" si="1"/>
        <v>UBER *TRIP HELP</v>
      </c>
      <c r="F34" s="21">
        <v>35.979999999999997</v>
      </c>
      <c r="H34" s="23"/>
    </row>
    <row r="35" spans="1:8" ht="13.5" thickBot="1" x14ac:dyDescent="0.25">
      <c r="A35" s="22" t="str">
        <f t="shared" si="0"/>
        <v>Bell</v>
      </c>
      <c r="B35" s="23">
        <v>4137</v>
      </c>
      <c r="C35" s="27">
        <v>45870</v>
      </c>
      <c r="D35" t="s">
        <v>57</v>
      </c>
      <c r="E35" s="89" t="str">
        <f t="shared" si="1"/>
        <v>UBER* TRIP SYDN</v>
      </c>
      <c r="F35" s="21">
        <v>9.3800000000000008</v>
      </c>
      <c r="H35" s="23"/>
    </row>
    <row r="36" spans="1:8" ht="13.5" thickBot="1" x14ac:dyDescent="0.25">
      <c r="A36" s="22" t="str">
        <f t="shared" si="0"/>
        <v>Bell</v>
      </c>
      <c r="B36" s="23">
        <v>4137</v>
      </c>
      <c r="C36" s="27">
        <v>45869</v>
      </c>
      <c r="D36" t="s">
        <v>58</v>
      </c>
      <c r="E36" s="89" t="str">
        <f t="shared" si="1"/>
        <v>Kwik Kopy Canni</v>
      </c>
      <c r="F36" s="21">
        <v>165.33</v>
      </c>
      <c r="H36" s="23"/>
    </row>
    <row r="37" spans="1:8" ht="13.5" thickBot="1" x14ac:dyDescent="0.25">
      <c r="A37" s="22" t="str">
        <f t="shared" si="0"/>
        <v>Bell</v>
      </c>
      <c r="B37" s="23">
        <v>4137</v>
      </c>
      <c r="C37" s="27">
        <v>45869</v>
      </c>
      <c r="D37" t="s">
        <v>59</v>
      </c>
      <c r="E37" s="89" t="str">
        <f t="shared" si="1"/>
        <v>CHILDRENS MEDIC</v>
      </c>
      <c r="F37" s="21">
        <v>27.81</v>
      </c>
      <c r="H37" s="23"/>
    </row>
    <row r="38" spans="1:8" ht="13.5" thickBot="1" x14ac:dyDescent="0.25">
      <c r="A38" s="22" t="str">
        <f t="shared" si="0"/>
        <v>Bell</v>
      </c>
      <c r="B38" s="23">
        <v>4137</v>
      </c>
      <c r="C38" s="27">
        <v>45869</v>
      </c>
      <c r="D38" t="s">
        <v>42</v>
      </c>
      <c r="E38" s="89" t="str">
        <f t="shared" si="1"/>
        <v>UBER *TRIP HELP</v>
      </c>
      <c r="F38" s="21">
        <v>8.94</v>
      </c>
      <c r="H38" s="23"/>
    </row>
    <row r="39" spans="1:8" ht="13.5" thickBot="1" x14ac:dyDescent="0.25">
      <c r="A39" s="22" t="str">
        <f t="shared" si="0"/>
        <v>Bell</v>
      </c>
      <c r="B39" s="23">
        <v>4137</v>
      </c>
      <c r="C39" s="27">
        <v>45869</v>
      </c>
      <c r="D39" t="s">
        <v>60</v>
      </c>
      <c r="E39" s="89" t="str">
        <f t="shared" si="1"/>
        <v>LENA'S BAR Pert</v>
      </c>
      <c r="F39" s="21">
        <v>64.959999999999994</v>
      </c>
      <c r="H39" s="23"/>
    </row>
    <row r="40" spans="1:8" ht="13.5" thickBot="1" x14ac:dyDescent="0.25">
      <c r="A40" s="22" t="str">
        <f t="shared" si="0"/>
        <v>Bell</v>
      </c>
      <c r="B40" s="23">
        <v>4137</v>
      </c>
      <c r="C40" s="27">
        <v>45868</v>
      </c>
      <c r="D40" t="s">
        <v>42</v>
      </c>
      <c r="E40" s="89" t="str">
        <f t="shared" si="1"/>
        <v>UBER *TRIP HELP</v>
      </c>
      <c r="F40" s="21">
        <v>9.09</v>
      </c>
      <c r="H40" s="23"/>
    </row>
    <row r="41" spans="1:8" ht="13.5" thickBot="1" x14ac:dyDescent="0.25">
      <c r="A41" s="22" t="str">
        <f t="shared" si="0"/>
        <v>Bell</v>
      </c>
      <c r="B41" s="23">
        <v>4137</v>
      </c>
      <c r="C41" s="27">
        <v>45867</v>
      </c>
      <c r="D41" t="s">
        <v>42</v>
      </c>
      <c r="E41" s="89" t="str">
        <f t="shared" si="1"/>
        <v>UBER *TRIP HELP</v>
      </c>
      <c r="F41" s="21">
        <v>8.94</v>
      </c>
      <c r="H41" s="23"/>
    </row>
    <row r="42" spans="1:8" ht="13.5" thickBot="1" x14ac:dyDescent="0.25">
      <c r="A42" s="22" t="str">
        <f t="shared" si="0"/>
        <v>Bell</v>
      </c>
      <c r="B42" s="23">
        <v>4137</v>
      </c>
      <c r="C42" s="27">
        <v>45867</v>
      </c>
      <c r="D42" t="s">
        <v>61</v>
      </c>
      <c r="E42" s="89" t="str">
        <f t="shared" si="1"/>
        <v xml:space="preserve">GOOD GROCER    </v>
      </c>
      <c r="F42" s="21">
        <v>19.48</v>
      </c>
      <c r="H42" s="23"/>
    </row>
    <row r="43" spans="1:8" ht="13.5" thickBot="1" x14ac:dyDescent="0.25">
      <c r="A43" s="22" t="str">
        <f t="shared" si="0"/>
        <v>Bell</v>
      </c>
      <c r="B43" s="23">
        <v>4137</v>
      </c>
      <c r="C43" s="27">
        <v>45867</v>
      </c>
      <c r="D43" t="s">
        <v>62</v>
      </c>
      <c r="E43" s="89" t="str">
        <f t="shared" si="1"/>
        <v>LOUVE PERTH AUS</v>
      </c>
      <c r="F43" s="21">
        <v>10.5</v>
      </c>
      <c r="H43" s="23"/>
    </row>
    <row r="44" spans="1:8" ht="13.5" thickBot="1" x14ac:dyDescent="0.25">
      <c r="A44" s="22" t="str">
        <f t="shared" si="0"/>
        <v>Bell</v>
      </c>
      <c r="B44" s="23">
        <v>4137</v>
      </c>
      <c r="C44" s="27">
        <v>45867</v>
      </c>
      <c r="D44" t="s">
        <v>42</v>
      </c>
      <c r="E44" s="89" t="str">
        <f t="shared" si="1"/>
        <v>UBER *TRIP HELP</v>
      </c>
      <c r="F44" s="21">
        <v>8.94</v>
      </c>
      <c r="H44" s="23"/>
    </row>
    <row r="45" spans="1:8" ht="13.5" thickBot="1" x14ac:dyDescent="0.25">
      <c r="A45" s="22" t="str">
        <f t="shared" si="0"/>
        <v>Bell</v>
      </c>
      <c r="B45" s="23">
        <v>4137</v>
      </c>
      <c r="C45" s="27">
        <v>45866</v>
      </c>
      <c r="D45" t="s">
        <v>63</v>
      </c>
      <c r="E45" s="89" t="str">
        <f t="shared" si="1"/>
        <v>ROSSMOYNE IGA R</v>
      </c>
      <c r="F45" s="21">
        <v>6.49</v>
      </c>
      <c r="H45" s="23"/>
    </row>
    <row r="46" spans="1:8" ht="13.5" thickBot="1" x14ac:dyDescent="0.25">
      <c r="A46" s="22" t="str">
        <f t="shared" si="0"/>
        <v>Bell</v>
      </c>
      <c r="B46" s="23">
        <v>4137</v>
      </c>
      <c r="C46" s="27">
        <v>45861</v>
      </c>
      <c r="D46" t="s">
        <v>64</v>
      </c>
      <c r="E46" s="89" t="str">
        <f t="shared" si="1"/>
        <v>WIZ PHY ROSSMOY</v>
      </c>
      <c r="F46" s="21">
        <v>21.43</v>
      </c>
      <c r="H46" s="23"/>
    </row>
    <row r="47" spans="1:8" ht="13.5" thickBot="1" x14ac:dyDescent="0.25">
      <c r="A47" s="22" t="str">
        <f t="shared" si="0"/>
        <v>Bell</v>
      </c>
      <c r="B47" s="23">
        <v>4137</v>
      </c>
      <c r="C47" s="27">
        <v>45861</v>
      </c>
      <c r="D47" t="s">
        <v>58</v>
      </c>
      <c r="E47" s="89" t="str">
        <f t="shared" si="1"/>
        <v>Kwik Kopy Canni</v>
      </c>
      <c r="F47" s="21">
        <v>807.83</v>
      </c>
      <c r="H47" s="23"/>
    </row>
    <row r="48" spans="1:8" ht="13.5" thickBot="1" x14ac:dyDescent="0.25">
      <c r="A48" s="22" t="str">
        <f t="shared" si="0"/>
        <v>Bell</v>
      </c>
      <c r="B48" s="23">
        <v>4137</v>
      </c>
      <c r="C48" s="27">
        <v>45860</v>
      </c>
      <c r="D48" t="s">
        <v>65</v>
      </c>
      <c r="E48" s="89" t="str">
        <f t="shared" si="1"/>
        <v xml:space="preserve">GRILLD PTY LTD </v>
      </c>
      <c r="F48" s="21">
        <v>89</v>
      </c>
      <c r="H48" s="23"/>
    </row>
    <row r="49" spans="1:8" ht="13.5" thickBot="1" x14ac:dyDescent="0.25">
      <c r="A49" s="22" t="str">
        <f t="shared" si="0"/>
        <v>Bell</v>
      </c>
      <c r="B49" s="23">
        <v>4137</v>
      </c>
      <c r="C49" s="27">
        <v>45859</v>
      </c>
      <c r="D49" t="s">
        <v>61</v>
      </c>
      <c r="E49" s="89" t="str">
        <f t="shared" si="1"/>
        <v xml:space="preserve">GOOD GROCER    </v>
      </c>
      <c r="F49" s="21">
        <v>16.89</v>
      </c>
      <c r="H49" s="23"/>
    </row>
    <row r="50" spans="1:8" ht="13.5" thickBot="1" x14ac:dyDescent="0.25">
      <c r="A50" s="22" t="str">
        <f t="shared" si="0"/>
        <v>Bell</v>
      </c>
      <c r="B50" s="23">
        <v>4137</v>
      </c>
      <c r="C50" s="27">
        <v>45856</v>
      </c>
      <c r="D50" t="s">
        <v>66</v>
      </c>
      <c r="E50" s="89" t="str">
        <f t="shared" si="1"/>
        <v>LEEDERVILLE MIN</v>
      </c>
      <c r="F50" s="21">
        <v>3.98</v>
      </c>
      <c r="H50" s="23"/>
    </row>
    <row r="51" spans="1:8" ht="13.5" thickBot="1" x14ac:dyDescent="0.25">
      <c r="A51" s="22" t="str">
        <f t="shared" si="0"/>
        <v>Bell</v>
      </c>
      <c r="B51" s="23">
        <v>4137</v>
      </c>
      <c r="C51" s="27">
        <v>45855</v>
      </c>
      <c r="D51" t="s">
        <v>67</v>
      </c>
      <c r="E51" s="89" t="str">
        <f t="shared" si="1"/>
        <v>FIBBER MCGEE 'S</v>
      </c>
      <c r="F51" s="21">
        <v>26</v>
      </c>
      <c r="H51" s="23"/>
    </row>
    <row r="52" spans="1:8" ht="13.5" thickBot="1" x14ac:dyDescent="0.25">
      <c r="A52" s="22" t="str">
        <f t="shared" si="0"/>
        <v>Bell</v>
      </c>
      <c r="B52" s="23">
        <v>4137</v>
      </c>
      <c r="C52" s="27">
        <v>45854</v>
      </c>
      <c r="D52" t="s">
        <v>68</v>
      </c>
      <c r="E52" s="89" t="str">
        <f t="shared" si="1"/>
        <v>GASTECH AUSTRAL</v>
      </c>
      <c r="F52" s="21">
        <v>907.5</v>
      </c>
      <c r="H52" s="23"/>
    </row>
    <row r="53" spans="1:8" ht="13.5" thickBot="1" x14ac:dyDescent="0.25">
      <c r="A53" s="22" t="str">
        <f t="shared" si="0"/>
        <v>Brown</v>
      </c>
      <c r="B53" s="22">
        <v>7173</v>
      </c>
      <c r="C53" s="27">
        <v>45881</v>
      </c>
      <c r="D53" t="s">
        <v>31</v>
      </c>
      <c r="E53" s="89" t="str">
        <f t="shared" si="1"/>
        <v>BUNNINGS 329000</v>
      </c>
      <c r="F53" s="21">
        <v>44.94</v>
      </c>
      <c r="H53" s="23"/>
    </row>
    <row r="54" spans="1:8" ht="13.5" thickBot="1" x14ac:dyDescent="0.25">
      <c r="A54" s="22" t="str">
        <f t="shared" si="0"/>
        <v>Brown</v>
      </c>
      <c r="B54" s="23">
        <v>7173</v>
      </c>
      <c r="C54">
        <v>45881</v>
      </c>
      <c r="D54" t="s">
        <v>73</v>
      </c>
      <c r="E54" s="89" t="str">
        <f t="shared" si="1"/>
        <v>BALLARAT SAFETY</v>
      </c>
      <c r="F54" s="21">
        <v>17.600000000000001</v>
      </c>
      <c r="H54" s="23"/>
    </row>
    <row r="55" spans="1:8" ht="13.5" thickBot="1" x14ac:dyDescent="0.25">
      <c r="A55" s="22" t="str">
        <f t="shared" si="0"/>
        <v>Brown</v>
      </c>
      <c r="B55" s="22">
        <v>7173</v>
      </c>
      <c r="C55" s="27">
        <v>45881</v>
      </c>
      <c r="D55" t="s">
        <v>76</v>
      </c>
      <c r="E55" s="89" t="str">
        <f t="shared" si="1"/>
        <v>Industrial Worl</v>
      </c>
      <c r="F55" s="21">
        <v>25.61</v>
      </c>
      <c r="H55" s="23"/>
    </row>
    <row r="56" spans="1:8" ht="13.5" thickBot="1" x14ac:dyDescent="0.25">
      <c r="A56" s="22" t="str">
        <f t="shared" si="0"/>
        <v>Brown</v>
      </c>
      <c r="B56" s="22">
        <v>7173</v>
      </c>
      <c r="C56" s="27">
        <v>45877</v>
      </c>
      <c r="D56" t="s">
        <v>79</v>
      </c>
      <c r="E56" s="89" t="str">
        <f t="shared" si="1"/>
        <v>TOTAL TOOLS BAL</v>
      </c>
      <c r="F56" s="21">
        <v>114.2</v>
      </c>
      <c r="H56" s="23"/>
    </row>
    <row r="57" spans="1:8" ht="13.5" thickBot="1" x14ac:dyDescent="0.25">
      <c r="A57" s="22" t="str">
        <f t="shared" si="0"/>
        <v>Brown</v>
      </c>
      <c r="B57" s="22">
        <v>7173</v>
      </c>
      <c r="C57" s="27">
        <v>45876</v>
      </c>
      <c r="D57" t="s">
        <v>81</v>
      </c>
      <c r="E57" s="89" t="str">
        <f t="shared" si="1"/>
        <v>STARLINK INTERN</v>
      </c>
      <c r="F57" s="21">
        <v>139</v>
      </c>
      <c r="H57" s="23"/>
    </row>
    <row r="58" spans="1:8" ht="13.5" thickBot="1" x14ac:dyDescent="0.25">
      <c r="A58" s="22" t="str">
        <f t="shared" si="0"/>
        <v>Brown</v>
      </c>
      <c r="B58" s="22">
        <v>7173</v>
      </c>
      <c r="C58" s="27">
        <v>45875</v>
      </c>
      <c r="D58" t="s">
        <v>31</v>
      </c>
      <c r="E58" s="89" t="str">
        <f t="shared" si="1"/>
        <v>BUNNINGS 329000</v>
      </c>
      <c r="F58" s="21">
        <v>44.7</v>
      </c>
      <c r="H58" s="23"/>
    </row>
    <row r="59" spans="1:8" ht="13.5" thickBot="1" x14ac:dyDescent="0.25">
      <c r="A59" s="22" t="str">
        <f t="shared" si="0"/>
        <v>Brown</v>
      </c>
      <c r="B59" s="22">
        <v>7173</v>
      </c>
      <c r="C59" s="27">
        <v>45875</v>
      </c>
      <c r="D59" t="s">
        <v>85</v>
      </c>
      <c r="E59" s="89" t="str">
        <f t="shared" si="1"/>
        <v>UNITED BALLARAT</v>
      </c>
      <c r="F59" s="21">
        <v>122.62</v>
      </c>
      <c r="H59" s="23"/>
    </row>
    <row r="60" spans="1:8" ht="13.5" thickBot="1" x14ac:dyDescent="0.25">
      <c r="A60" s="22" t="str">
        <f t="shared" si="0"/>
        <v>Brown</v>
      </c>
      <c r="B60" s="23">
        <v>7173</v>
      </c>
      <c r="C60" s="24">
        <v>45874</v>
      </c>
      <c r="D60" s="23" t="s">
        <v>88</v>
      </c>
      <c r="E60" s="89" t="str">
        <f t="shared" si="1"/>
        <v>AWM WENDOUREE W</v>
      </c>
      <c r="F60" s="28">
        <v>184.67</v>
      </c>
      <c r="G60" s="28"/>
      <c r="H60" s="23"/>
    </row>
    <row r="61" spans="1:8" ht="13.5" thickBot="1" x14ac:dyDescent="0.25">
      <c r="A61" s="22" t="str">
        <f t="shared" si="0"/>
        <v>Brown</v>
      </c>
      <c r="B61" s="23">
        <v>7173</v>
      </c>
      <c r="C61" s="24">
        <v>45874</v>
      </c>
      <c r="D61" s="23" t="s">
        <v>90</v>
      </c>
      <c r="E61" s="89" t="str">
        <f t="shared" si="1"/>
        <v>CRED VOUCHER AW</v>
      </c>
      <c r="F61" s="28"/>
      <c r="G61" s="28">
        <v>71.98</v>
      </c>
      <c r="H61" s="23"/>
    </row>
    <row r="62" spans="1:8" ht="13.5" thickBot="1" x14ac:dyDescent="0.25">
      <c r="A62" s="22" t="str">
        <f t="shared" si="0"/>
        <v>Brown</v>
      </c>
      <c r="B62" s="22">
        <v>7173</v>
      </c>
      <c r="C62" s="27">
        <v>45874</v>
      </c>
      <c r="D62" t="s">
        <v>92</v>
      </c>
      <c r="E62" s="89" t="str">
        <f t="shared" si="1"/>
        <v>L&amp;H WENDOUREE W</v>
      </c>
      <c r="F62" s="21">
        <v>241.66</v>
      </c>
      <c r="H62" s="23"/>
    </row>
    <row r="63" spans="1:8" ht="13.5" thickBot="1" x14ac:dyDescent="0.25">
      <c r="A63" s="22" t="str">
        <f t="shared" si="0"/>
        <v>Brown</v>
      </c>
      <c r="B63" s="23">
        <v>7173</v>
      </c>
      <c r="C63" s="24">
        <v>45869</v>
      </c>
      <c r="D63" s="23" t="s">
        <v>93</v>
      </c>
      <c r="E63" s="89" t="str">
        <f t="shared" si="1"/>
        <v>Ballarat Materi</v>
      </c>
      <c r="F63" s="28">
        <v>250.97</v>
      </c>
      <c r="G63" s="28"/>
      <c r="H63" s="23"/>
    </row>
    <row r="64" spans="1:8" ht="13.5" thickBot="1" x14ac:dyDescent="0.25">
      <c r="A64" s="22" t="str">
        <f t="shared" si="0"/>
        <v>Brown</v>
      </c>
      <c r="B64" s="23">
        <v>7173</v>
      </c>
      <c r="C64" s="24">
        <v>45868</v>
      </c>
      <c r="D64" s="23" t="s">
        <v>95</v>
      </c>
      <c r="E64" s="89" t="str">
        <f t="shared" si="1"/>
        <v>AVENUTUM BALLAR</v>
      </c>
      <c r="F64" s="28">
        <v>486.57</v>
      </c>
      <c r="G64" s="28"/>
      <c r="H64" s="23"/>
    </row>
    <row r="65" spans="1:8" ht="13.5" thickBot="1" x14ac:dyDescent="0.25">
      <c r="A65" s="22" t="str">
        <f t="shared" si="0"/>
        <v>Brown</v>
      </c>
      <c r="B65" s="23">
        <v>7173</v>
      </c>
      <c r="C65" s="24">
        <v>45868</v>
      </c>
      <c r="D65" s="23" t="s">
        <v>85</v>
      </c>
      <c r="E65" s="89" t="str">
        <f t="shared" si="1"/>
        <v>UNITED BALLARAT</v>
      </c>
      <c r="F65" s="28">
        <v>118.34</v>
      </c>
      <c r="G65" s="28"/>
      <c r="H65" s="23"/>
    </row>
    <row r="66" spans="1:8" ht="13.5" thickBot="1" x14ac:dyDescent="0.25">
      <c r="A66" s="22" t="str">
        <f t="shared" ref="A66:A129" si="2">VLOOKUP(B66,$K$2:$L$29,2,FALSE)</f>
        <v>Brown</v>
      </c>
      <c r="B66" s="23">
        <v>7173</v>
      </c>
      <c r="C66" s="24">
        <v>45866</v>
      </c>
      <c r="D66" s="23" t="s">
        <v>97</v>
      </c>
      <c r="E66" s="89" t="str">
        <f t="shared" ref="E66:E129" si="3">LEFT(D66,15)</f>
        <v xml:space="preserve">Ballarat Bolts </v>
      </c>
      <c r="F66" s="28">
        <v>4.0599999999999996</v>
      </c>
      <c r="G66" s="28"/>
      <c r="H66" s="23"/>
    </row>
    <row r="67" spans="1:8" ht="13.5" thickBot="1" x14ac:dyDescent="0.25">
      <c r="A67" s="22" t="str">
        <f t="shared" si="2"/>
        <v>Brown</v>
      </c>
      <c r="B67" s="23">
        <v>7173</v>
      </c>
      <c r="C67" s="24">
        <v>45863</v>
      </c>
      <c r="D67" s="23" t="s">
        <v>31</v>
      </c>
      <c r="E67" s="89" t="str">
        <f t="shared" si="3"/>
        <v>BUNNINGS 329000</v>
      </c>
      <c r="F67" s="28">
        <v>33</v>
      </c>
      <c r="G67" s="28"/>
      <c r="H67" s="23"/>
    </row>
    <row r="68" spans="1:8" ht="13.5" thickBot="1" x14ac:dyDescent="0.25">
      <c r="A68" s="22" t="str">
        <f t="shared" si="2"/>
        <v>Brown</v>
      </c>
      <c r="B68" s="23">
        <v>7173</v>
      </c>
      <c r="C68" s="24">
        <v>45860</v>
      </c>
      <c r="D68" s="23" t="s">
        <v>100</v>
      </c>
      <c r="E68" s="89" t="str">
        <f t="shared" si="3"/>
        <v>STERIDIUM PTY L</v>
      </c>
      <c r="F68" s="28">
        <v>483.87</v>
      </c>
      <c r="G68" s="28"/>
      <c r="H68" s="23"/>
    </row>
    <row r="69" spans="1:8" ht="13.5" thickBot="1" x14ac:dyDescent="0.25">
      <c r="A69" s="22" t="str">
        <f t="shared" si="2"/>
        <v>Brown</v>
      </c>
      <c r="B69" s="23">
        <v>7173</v>
      </c>
      <c r="C69" s="24">
        <v>45859</v>
      </c>
      <c r="D69" s="23" t="s">
        <v>31</v>
      </c>
      <c r="E69" s="89" t="str">
        <f t="shared" si="3"/>
        <v>BUNNINGS 329000</v>
      </c>
      <c r="F69" s="28">
        <v>59.45</v>
      </c>
      <c r="G69" s="28"/>
      <c r="H69" s="23"/>
    </row>
    <row r="70" spans="1:8" ht="13.5" thickBot="1" x14ac:dyDescent="0.25">
      <c r="A70" s="22" t="str">
        <f t="shared" si="2"/>
        <v>Brown</v>
      </c>
      <c r="B70" s="22">
        <v>7173</v>
      </c>
      <c r="C70" s="27">
        <v>45859</v>
      </c>
      <c r="D70" t="s">
        <v>85</v>
      </c>
      <c r="E70" s="89" t="str">
        <f t="shared" si="3"/>
        <v>UNITED BALLARAT</v>
      </c>
      <c r="F70" s="21">
        <v>118.45</v>
      </c>
      <c r="H70" s="23"/>
    </row>
    <row r="71" spans="1:8" ht="13.5" thickBot="1" x14ac:dyDescent="0.25">
      <c r="A71" s="22" t="str">
        <f t="shared" si="2"/>
        <v>Brown</v>
      </c>
      <c r="B71" s="22">
        <v>7173</v>
      </c>
      <c r="C71" s="27">
        <v>45856</v>
      </c>
      <c r="D71" t="s">
        <v>92</v>
      </c>
      <c r="E71" s="89" t="str">
        <f t="shared" si="3"/>
        <v>L&amp;H WENDOUREE W</v>
      </c>
      <c r="F71" s="21">
        <v>73.61</v>
      </c>
      <c r="H71" s="23"/>
    </row>
    <row r="72" spans="1:8" ht="13.5" thickBot="1" x14ac:dyDescent="0.25">
      <c r="A72" s="22" t="str">
        <f t="shared" si="2"/>
        <v>Brown</v>
      </c>
      <c r="B72" s="23">
        <v>7173</v>
      </c>
      <c r="C72" s="24">
        <v>45855</v>
      </c>
      <c r="D72" s="23" t="s">
        <v>104</v>
      </c>
      <c r="E72" s="89" t="str">
        <f t="shared" si="3"/>
        <v>COLES 0628COLES</v>
      </c>
      <c r="F72" s="28">
        <v>12</v>
      </c>
      <c r="G72" s="28"/>
      <c r="H72" s="23"/>
    </row>
    <row r="73" spans="1:8" ht="13.5" thickBot="1" x14ac:dyDescent="0.25">
      <c r="A73" s="22" t="str">
        <f t="shared" si="2"/>
        <v>Brown</v>
      </c>
      <c r="B73" s="23">
        <v>7173</v>
      </c>
      <c r="C73" s="24">
        <v>45854</v>
      </c>
      <c r="D73" s="23" t="s">
        <v>31</v>
      </c>
      <c r="E73" s="89" t="str">
        <f t="shared" si="3"/>
        <v>BUNNINGS 329000</v>
      </c>
      <c r="F73" s="28">
        <v>21.99</v>
      </c>
      <c r="G73" s="28"/>
      <c r="H73" s="23"/>
    </row>
    <row r="74" spans="1:8" ht="13.5" thickBot="1" x14ac:dyDescent="0.25">
      <c r="A74" s="22" t="str">
        <f t="shared" si="2"/>
        <v>Donadio</v>
      </c>
      <c r="B74" s="22">
        <v>2571</v>
      </c>
      <c r="C74" s="27">
        <v>45881</v>
      </c>
      <c r="D74" t="s">
        <v>108</v>
      </c>
      <c r="E74" s="89" t="str">
        <f t="shared" si="3"/>
        <v xml:space="preserve">SP XNOTE DOVER </v>
      </c>
      <c r="F74" s="21">
        <v>1135.57</v>
      </c>
      <c r="H74" s="23"/>
    </row>
    <row r="75" spans="1:8" ht="13.5" thickBot="1" x14ac:dyDescent="0.25">
      <c r="A75" s="22" t="str">
        <f t="shared" si="2"/>
        <v>Donadio</v>
      </c>
      <c r="B75" s="22">
        <v>2571</v>
      </c>
      <c r="C75" s="27">
        <v>45879</v>
      </c>
      <c r="D75" t="s">
        <v>111</v>
      </c>
      <c r="E75" s="89" t="str">
        <f t="shared" si="3"/>
        <v>SP RED DRAGON N</v>
      </c>
      <c r="F75" s="21">
        <v>169.95</v>
      </c>
      <c r="H75" s="23"/>
    </row>
    <row r="76" spans="1:8" ht="13.5" thickBot="1" x14ac:dyDescent="0.25">
      <c r="A76" s="22" t="str">
        <f t="shared" si="2"/>
        <v>Donadio</v>
      </c>
      <c r="B76" s="22">
        <v>2571</v>
      </c>
      <c r="C76" s="27">
        <v>45877</v>
      </c>
      <c r="D76" t="s">
        <v>114</v>
      </c>
      <c r="E76" s="89" t="str">
        <f t="shared" si="3"/>
        <v>CRUST - BALLARA</v>
      </c>
      <c r="F76" s="21">
        <v>963</v>
      </c>
      <c r="H76" s="23"/>
    </row>
    <row r="77" spans="1:8" ht="13.5" thickBot="1" x14ac:dyDescent="0.25">
      <c r="A77" s="22" t="str">
        <f t="shared" si="2"/>
        <v>Donadio</v>
      </c>
      <c r="B77" s="22">
        <v>2571</v>
      </c>
      <c r="C77" s="27">
        <v>45875</v>
      </c>
      <c r="D77" t="s">
        <v>117</v>
      </c>
      <c r="E77" s="89" t="str">
        <f t="shared" si="3"/>
        <v>SP RUNAWAYTHELA</v>
      </c>
      <c r="F77" s="21">
        <v>353.6</v>
      </c>
      <c r="H77" s="23"/>
    </row>
    <row r="78" spans="1:8" ht="13.5" thickBot="1" x14ac:dyDescent="0.25">
      <c r="A78" s="22" t="str">
        <f t="shared" si="2"/>
        <v>Donadio</v>
      </c>
      <c r="B78" s="23">
        <v>2571</v>
      </c>
      <c r="C78" s="24">
        <v>45873</v>
      </c>
      <c r="D78" s="23" t="s">
        <v>118</v>
      </c>
      <c r="E78" s="89" t="str">
        <f t="shared" si="3"/>
        <v>DNH*GODADDY#384</v>
      </c>
      <c r="F78" s="28">
        <v>111.31</v>
      </c>
      <c r="G78" s="28"/>
      <c r="H78" s="23"/>
    </row>
    <row r="79" spans="1:8" ht="13.5" thickBot="1" x14ac:dyDescent="0.25">
      <c r="A79" s="22" t="str">
        <f t="shared" si="2"/>
        <v>Donadio</v>
      </c>
      <c r="B79" s="23">
        <v>2571</v>
      </c>
      <c r="C79" s="24">
        <v>45871</v>
      </c>
      <c r="D79" s="23" t="s">
        <v>114</v>
      </c>
      <c r="E79" s="89" t="str">
        <f t="shared" si="3"/>
        <v>CRUST - BALLARA</v>
      </c>
      <c r="F79" s="28">
        <v>137</v>
      </c>
      <c r="G79" s="28"/>
      <c r="H79" s="23"/>
    </row>
    <row r="80" spans="1:8" ht="13.5" thickBot="1" x14ac:dyDescent="0.25">
      <c r="A80" s="22" t="str">
        <f t="shared" si="2"/>
        <v>Donadio</v>
      </c>
      <c r="B80" s="22">
        <v>2571</v>
      </c>
      <c r="C80" s="27">
        <v>45868</v>
      </c>
      <c r="D80" t="s">
        <v>122</v>
      </c>
      <c r="E80" s="89" t="str">
        <f t="shared" si="3"/>
        <v>SQ *NAOMI &amp; I S</v>
      </c>
      <c r="F80" s="21">
        <v>54.86</v>
      </c>
      <c r="H80" s="23"/>
    </row>
    <row r="81" spans="1:8" ht="13.5" thickBot="1" x14ac:dyDescent="0.25">
      <c r="A81" s="22" t="str">
        <f t="shared" si="2"/>
        <v>Donadio</v>
      </c>
      <c r="B81" s="22">
        <v>2571</v>
      </c>
      <c r="C81" s="27">
        <v>45868</v>
      </c>
      <c r="D81" t="s">
        <v>124</v>
      </c>
      <c r="E81" s="89" t="str">
        <f t="shared" si="3"/>
        <v xml:space="preserve">BWS LIQUOR     </v>
      </c>
      <c r="F81" s="21">
        <v>78</v>
      </c>
      <c r="H81" s="23"/>
    </row>
    <row r="82" spans="1:8" ht="13.5" thickBot="1" x14ac:dyDescent="0.25">
      <c r="A82" s="22" t="str">
        <f t="shared" si="2"/>
        <v>Donadio</v>
      </c>
      <c r="B82" s="22">
        <v>2571</v>
      </c>
      <c r="C82" s="27">
        <v>45868</v>
      </c>
      <c r="D82" t="s">
        <v>127</v>
      </c>
      <c r="E82" s="89" t="str">
        <f t="shared" si="3"/>
        <v xml:space="preserve">WOOLWORTHS     </v>
      </c>
      <c r="F82" s="21">
        <v>77.5</v>
      </c>
      <c r="H82" s="23"/>
    </row>
    <row r="83" spans="1:8" ht="13.5" thickBot="1" x14ac:dyDescent="0.25">
      <c r="A83" s="22" t="str">
        <f t="shared" si="2"/>
        <v>Donadio</v>
      </c>
      <c r="B83" s="23">
        <v>2571</v>
      </c>
      <c r="C83" s="24">
        <v>45868</v>
      </c>
      <c r="D83" s="23" t="s">
        <v>128</v>
      </c>
      <c r="E83" s="89" t="str">
        <f t="shared" si="3"/>
        <v xml:space="preserve">BAKERS DELIGHT </v>
      </c>
      <c r="F83" s="28">
        <v>52.1</v>
      </c>
      <c r="G83" s="28"/>
      <c r="H83" s="23"/>
    </row>
    <row r="84" spans="1:8" ht="13.5" thickBot="1" x14ac:dyDescent="0.25">
      <c r="A84" s="22" t="str">
        <f t="shared" si="2"/>
        <v>Donadio</v>
      </c>
      <c r="B84" s="23">
        <v>2571</v>
      </c>
      <c r="C84" s="24">
        <v>45867</v>
      </c>
      <c r="D84" s="23" t="s">
        <v>129</v>
      </c>
      <c r="E84" s="89" t="str">
        <f t="shared" si="3"/>
        <v>LinkedIn 104592</v>
      </c>
      <c r="F84" s="28">
        <v>1308.54</v>
      </c>
      <c r="G84" s="28"/>
      <c r="H84" s="23"/>
    </row>
    <row r="85" spans="1:8" ht="13.5" thickBot="1" x14ac:dyDescent="0.25">
      <c r="A85" s="22" t="str">
        <f t="shared" si="2"/>
        <v>Donadio</v>
      </c>
      <c r="B85" s="23">
        <v>2571</v>
      </c>
      <c r="C85" s="24">
        <v>45860</v>
      </c>
      <c r="D85" s="23" t="s">
        <v>81</v>
      </c>
      <c r="E85" s="89" t="str">
        <f t="shared" si="3"/>
        <v>STARLINK INTERN</v>
      </c>
      <c r="F85" s="28">
        <v>278</v>
      </c>
      <c r="G85" s="28"/>
      <c r="H85" s="23"/>
    </row>
    <row r="86" spans="1:8" ht="13.5" thickBot="1" x14ac:dyDescent="0.25">
      <c r="A86" s="22" t="str">
        <f t="shared" si="2"/>
        <v>Donadio</v>
      </c>
      <c r="B86" s="23">
        <v>2571</v>
      </c>
      <c r="C86" s="24">
        <v>45860</v>
      </c>
      <c r="D86" s="23" t="s">
        <v>127</v>
      </c>
      <c r="E86" s="89" t="str">
        <f t="shared" si="3"/>
        <v xml:space="preserve">WOOLWORTHS     </v>
      </c>
      <c r="F86" s="28">
        <v>89.48</v>
      </c>
      <c r="G86" s="28"/>
      <c r="H86" s="23"/>
    </row>
    <row r="87" spans="1:8" ht="13.5" thickBot="1" x14ac:dyDescent="0.25">
      <c r="A87" s="22" t="str">
        <f t="shared" si="2"/>
        <v>Donadio</v>
      </c>
      <c r="B87" s="23">
        <v>2571</v>
      </c>
      <c r="C87" s="24">
        <v>45859</v>
      </c>
      <c r="D87" s="23" t="s">
        <v>128</v>
      </c>
      <c r="E87" s="89" t="str">
        <f t="shared" si="3"/>
        <v xml:space="preserve">BAKERS DELIGHT </v>
      </c>
      <c r="F87" s="28">
        <v>29.8</v>
      </c>
      <c r="G87" s="28"/>
      <c r="H87" s="23"/>
    </row>
    <row r="88" spans="1:8" ht="13.5" thickBot="1" x14ac:dyDescent="0.25">
      <c r="A88" s="22" t="str">
        <f t="shared" si="2"/>
        <v>Donadio</v>
      </c>
      <c r="B88" s="23">
        <v>2571</v>
      </c>
      <c r="C88" s="24">
        <v>45854</v>
      </c>
      <c r="D88" s="23" t="s">
        <v>122</v>
      </c>
      <c r="E88" s="89" t="str">
        <f t="shared" si="3"/>
        <v>SQ *NAOMI &amp; I S</v>
      </c>
      <c r="F88" s="28">
        <v>65.63</v>
      </c>
      <c r="G88" s="28"/>
      <c r="H88" s="23"/>
    </row>
    <row r="89" spans="1:8" ht="13.5" thickBot="1" x14ac:dyDescent="0.25">
      <c r="A89" s="22" t="str">
        <f t="shared" si="2"/>
        <v>Donadio</v>
      </c>
      <c r="B89" s="23">
        <v>2571</v>
      </c>
      <c r="C89" s="24">
        <v>45854</v>
      </c>
      <c r="D89" s="23" t="s">
        <v>128</v>
      </c>
      <c r="E89" s="89" t="str">
        <f t="shared" si="3"/>
        <v xml:space="preserve">BAKERS DELIGHT </v>
      </c>
      <c r="F89" s="28">
        <v>17.2</v>
      </c>
      <c r="G89" s="28"/>
      <c r="H89" s="23"/>
    </row>
    <row r="90" spans="1:8" ht="13.5" thickBot="1" x14ac:dyDescent="0.25">
      <c r="A90" s="22" t="str">
        <f t="shared" si="2"/>
        <v>Donadio</v>
      </c>
      <c r="B90" s="23">
        <v>2571</v>
      </c>
      <c r="C90" s="24">
        <v>45854</v>
      </c>
      <c r="D90" t="s">
        <v>127</v>
      </c>
      <c r="E90" s="89" t="str">
        <f t="shared" si="3"/>
        <v xml:space="preserve">WOOLWORTHS     </v>
      </c>
      <c r="F90" s="21">
        <v>27</v>
      </c>
      <c r="H90" s="23"/>
    </row>
    <row r="91" spans="1:8" ht="13.5" thickBot="1" x14ac:dyDescent="0.25">
      <c r="A91" s="22" t="str">
        <f t="shared" si="2"/>
        <v>DUva</v>
      </c>
      <c r="B91" s="23">
        <v>3601</v>
      </c>
      <c r="C91" s="27">
        <v>45881</v>
      </c>
      <c r="D91" t="s">
        <v>51</v>
      </c>
      <c r="E91" s="89" t="str">
        <f t="shared" si="3"/>
        <v>SQ *NOURISH KIT</v>
      </c>
      <c r="F91" s="21">
        <v>16.899999999999999</v>
      </c>
      <c r="H91" s="23"/>
    </row>
    <row r="92" spans="1:8" ht="13.5" thickBot="1" x14ac:dyDescent="0.25">
      <c r="A92" s="22" t="str">
        <f t="shared" si="2"/>
        <v>DUva</v>
      </c>
      <c r="B92" s="23">
        <v>3601</v>
      </c>
      <c r="C92" s="27">
        <v>45873</v>
      </c>
      <c r="D92" t="s">
        <v>135</v>
      </c>
      <c r="E92" s="89" t="str">
        <f t="shared" si="3"/>
        <v>TSUKE BA LEEDER</v>
      </c>
      <c r="F92" s="21">
        <v>32.5</v>
      </c>
      <c r="H92" s="23"/>
    </row>
    <row r="93" spans="1:8" ht="13.5" thickBot="1" x14ac:dyDescent="0.25">
      <c r="A93" s="22" t="str">
        <f t="shared" si="2"/>
        <v>DUva</v>
      </c>
      <c r="B93" s="23">
        <v>3601</v>
      </c>
      <c r="C93" s="27">
        <v>45871</v>
      </c>
      <c r="D93" t="s">
        <v>42</v>
      </c>
      <c r="E93" s="89" t="str">
        <f t="shared" si="3"/>
        <v>UBER *TRIP HELP</v>
      </c>
      <c r="F93" s="21">
        <v>34.979999999999997</v>
      </c>
      <c r="H93" s="23"/>
    </row>
    <row r="94" spans="1:8" ht="13.5" thickBot="1" x14ac:dyDescent="0.25">
      <c r="A94" s="22" t="str">
        <f t="shared" si="2"/>
        <v>DUva</v>
      </c>
      <c r="B94" s="23">
        <v>3601</v>
      </c>
      <c r="C94" s="27">
        <v>45871</v>
      </c>
      <c r="D94" t="s">
        <v>42</v>
      </c>
      <c r="E94" s="89" t="str">
        <f t="shared" si="3"/>
        <v>UBER *TRIP HELP</v>
      </c>
      <c r="F94" s="21">
        <v>36.07</v>
      </c>
      <c r="H94" s="23"/>
    </row>
    <row r="95" spans="1:8" ht="13.5" thickBot="1" x14ac:dyDescent="0.25">
      <c r="A95" s="22" t="str">
        <f t="shared" si="2"/>
        <v>DUva</v>
      </c>
      <c r="B95" s="23">
        <v>3601</v>
      </c>
      <c r="C95" s="27">
        <v>45867</v>
      </c>
      <c r="D95" t="s">
        <v>136</v>
      </c>
      <c r="E95" s="89" t="str">
        <f t="shared" si="3"/>
        <v>GYG Leederville</v>
      </c>
      <c r="F95" s="21">
        <v>26.8</v>
      </c>
      <c r="H95" s="23"/>
    </row>
    <row r="96" spans="1:8" ht="13.5" thickBot="1" x14ac:dyDescent="0.25">
      <c r="A96" s="22" t="str">
        <f t="shared" si="2"/>
        <v>DUva</v>
      </c>
      <c r="B96" s="23">
        <v>3601</v>
      </c>
      <c r="C96" s="27">
        <v>45855</v>
      </c>
      <c r="D96" t="s">
        <v>137</v>
      </c>
      <c r="E96" s="89" t="str">
        <f t="shared" si="3"/>
        <v>AUZICAB 0478 04</v>
      </c>
      <c r="F96" s="21">
        <v>93.24</v>
      </c>
      <c r="H96" s="23"/>
    </row>
    <row r="97" spans="1:8" ht="13.5" thickBot="1" x14ac:dyDescent="0.25">
      <c r="A97" s="22" t="str">
        <f t="shared" si="2"/>
        <v>DUva</v>
      </c>
      <c r="B97" s="23">
        <v>3601</v>
      </c>
      <c r="C97" s="27">
        <v>45854</v>
      </c>
      <c r="D97" t="s">
        <v>138</v>
      </c>
      <c r="E97" s="89" t="str">
        <f t="shared" si="3"/>
        <v>COMPASS GOLDRDG</v>
      </c>
      <c r="F97" s="21">
        <v>13</v>
      </c>
      <c r="H97" s="23"/>
    </row>
    <row r="98" spans="1:8" ht="13.5" thickBot="1" x14ac:dyDescent="0.25">
      <c r="A98" s="22" t="str">
        <f t="shared" si="2"/>
        <v>DUva</v>
      </c>
      <c r="B98" s="23">
        <v>3601</v>
      </c>
      <c r="C98" s="27">
        <v>45854</v>
      </c>
      <c r="D98" t="s">
        <v>138</v>
      </c>
      <c r="E98" s="89" t="str">
        <f t="shared" si="3"/>
        <v>COMPASS GOLDRDG</v>
      </c>
      <c r="F98" s="21">
        <v>18.7</v>
      </c>
      <c r="H98" s="23"/>
    </row>
    <row r="99" spans="1:8" ht="13.5" thickBot="1" x14ac:dyDescent="0.25">
      <c r="A99" s="22" t="str">
        <f t="shared" si="2"/>
        <v>DUva</v>
      </c>
      <c r="B99" s="23">
        <v>3601</v>
      </c>
      <c r="C99" s="27">
        <v>45854</v>
      </c>
      <c r="D99" t="s">
        <v>138</v>
      </c>
      <c r="E99" s="89" t="str">
        <f t="shared" si="3"/>
        <v>COMPASS GOLDRDG</v>
      </c>
      <c r="F99" s="21">
        <v>17.899999999999999</v>
      </c>
      <c r="H99" s="23"/>
    </row>
    <row r="100" spans="1:8" ht="13.5" thickBot="1" x14ac:dyDescent="0.25">
      <c r="A100" s="22" t="str">
        <f t="shared" si="2"/>
        <v>DUva</v>
      </c>
      <c r="B100" s="23">
        <v>3601</v>
      </c>
      <c r="C100" s="27">
        <v>45854</v>
      </c>
      <c r="D100" t="s">
        <v>139</v>
      </c>
      <c r="E100" s="89" t="str">
        <f t="shared" si="3"/>
        <v xml:space="preserve">SWAN TAXIS PTY </v>
      </c>
      <c r="F100" s="21">
        <v>76.44</v>
      </c>
      <c r="H100" s="23"/>
    </row>
    <row r="101" spans="1:8" ht="13.5" thickBot="1" x14ac:dyDescent="0.25">
      <c r="A101" s="22" t="str">
        <f t="shared" si="2"/>
        <v>Edmondston</v>
      </c>
      <c r="B101" s="22">
        <v>1694</v>
      </c>
      <c r="C101" s="27">
        <v>45883</v>
      </c>
      <c r="D101" t="s">
        <v>141</v>
      </c>
      <c r="E101" s="89" t="str">
        <f t="shared" si="3"/>
        <v xml:space="preserve">Bakers Delight </v>
      </c>
      <c r="F101" s="21">
        <v>28.5</v>
      </c>
      <c r="H101" s="23"/>
    </row>
    <row r="102" spans="1:8" ht="13.5" thickBot="1" x14ac:dyDescent="0.25">
      <c r="A102" s="22" t="str">
        <f t="shared" si="2"/>
        <v>Edmondston</v>
      </c>
      <c r="B102" s="23">
        <v>1694</v>
      </c>
      <c r="C102" s="27">
        <v>45883</v>
      </c>
      <c r="D102" s="23" t="s">
        <v>142</v>
      </c>
      <c r="E102" s="89" t="str">
        <f t="shared" si="3"/>
        <v>GOLDEN NUGGET B</v>
      </c>
      <c r="F102" s="28">
        <v>75.62</v>
      </c>
      <c r="G102" s="28"/>
      <c r="H102" s="23"/>
    </row>
    <row r="103" spans="1:8" ht="13.5" thickBot="1" x14ac:dyDescent="0.25">
      <c r="A103" s="22" t="str">
        <f t="shared" si="2"/>
        <v>Edmondston</v>
      </c>
      <c r="B103" s="23">
        <v>1694</v>
      </c>
      <c r="C103" s="27">
        <v>45882</v>
      </c>
      <c r="D103" s="23" t="s">
        <v>141</v>
      </c>
      <c r="E103" s="89" t="str">
        <f t="shared" si="3"/>
        <v xml:space="preserve">Bakers Delight </v>
      </c>
      <c r="F103" s="28">
        <v>27</v>
      </c>
      <c r="G103" s="28"/>
      <c r="H103" s="23"/>
    </row>
    <row r="104" spans="1:8" ht="13.5" thickBot="1" x14ac:dyDescent="0.25">
      <c r="A104" s="22" t="str">
        <f t="shared" si="2"/>
        <v>Edmondston</v>
      </c>
      <c r="B104" s="23">
        <v>1694</v>
      </c>
      <c r="C104" s="27">
        <v>45881</v>
      </c>
      <c r="D104" s="23" t="s">
        <v>143</v>
      </c>
      <c r="E104" s="89" t="str">
        <f t="shared" si="3"/>
        <v>RYANS IGA MIDVA</v>
      </c>
      <c r="F104" s="28">
        <v>16.39</v>
      </c>
      <c r="G104" s="28"/>
      <c r="H104" s="23"/>
    </row>
    <row r="105" spans="1:8" ht="13.5" thickBot="1" x14ac:dyDescent="0.25">
      <c r="A105" s="22" t="str">
        <f t="shared" si="2"/>
        <v>Edmondston</v>
      </c>
      <c r="B105" s="23">
        <v>1694</v>
      </c>
      <c r="C105" s="27">
        <v>45880</v>
      </c>
      <c r="D105" s="23" t="s">
        <v>143</v>
      </c>
      <c r="E105" s="89" t="str">
        <f t="shared" si="3"/>
        <v>RYANS IGA MIDVA</v>
      </c>
      <c r="F105" s="28">
        <v>48.23</v>
      </c>
      <c r="G105" s="28"/>
      <c r="H105" s="23"/>
    </row>
    <row r="106" spans="1:8" ht="13.5" thickBot="1" x14ac:dyDescent="0.25">
      <c r="A106" s="22" t="str">
        <f t="shared" si="2"/>
        <v>Edmondston</v>
      </c>
      <c r="B106" s="23">
        <v>1694</v>
      </c>
      <c r="C106" s="27">
        <v>45880</v>
      </c>
      <c r="D106" t="s">
        <v>144</v>
      </c>
      <c r="E106" s="89" t="str">
        <f t="shared" si="3"/>
        <v>Subway Wendoure</v>
      </c>
      <c r="F106" s="21">
        <v>128</v>
      </c>
      <c r="H106" s="23"/>
    </row>
    <row r="107" spans="1:8" ht="13.5" thickBot="1" x14ac:dyDescent="0.25">
      <c r="A107" s="22" t="str">
        <f t="shared" si="2"/>
        <v>Edmondston</v>
      </c>
      <c r="B107" s="23">
        <v>1694</v>
      </c>
      <c r="C107" s="27">
        <v>45880</v>
      </c>
      <c r="D107" s="23" t="s">
        <v>45</v>
      </c>
      <c r="E107" s="89" t="str">
        <f t="shared" si="3"/>
        <v>THE CITY OVAL H</v>
      </c>
      <c r="F107" s="28">
        <v>527.9</v>
      </c>
      <c r="G107" s="28"/>
      <c r="H107" s="23"/>
    </row>
    <row r="108" spans="1:8" ht="13.5" thickBot="1" x14ac:dyDescent="0.25">
      <c r="A108" s="22" t="str">
        <f t="shared" si="2"/>
        <v>Edmondston</v>
      </c>
      <c r="B108" s="23">
        <v>1694</v>
      </c>
      <c r="C108" s="27">
        <v>45877</v>
      </c>
      <c r="D108" s="23" t="s">
        <v>145</v>
      </c>
      <c r="E108" s="89" t="str">
        <f t="shared" si="3"/>
        <v xml:space="preserve">POST WENDOUREE </v>
      </c>
      <c r="F108" s="28">
        <v>19.649999999999999</v>
      </c>
      <c r="G108" s="28"/>
      <c r="H108" s="23"/>
    </row>
    <row r="109" spans="1:8" ht="13.5" thickBot="1" x14ac:dyDescent="0.25">
      <c r="A109" s="22" t="str">
        <f t="shared" si="2"/>
        <v>Edmondston</v>
      </c>
      <c r="B109" s="23">
        <v>1694</v>
      </c>
      <c r="C109" s="27">
        <v>45876</v>
      </c>
      <c r="D109" s="23" t="s">
        <v>146</v>
      </c>
      <c r="E109" s="89" t="str">
        <f t="shared" si="3"/>
        <v>MYKI BALLARAT R</v>
      </c>
      <c r="F109" s="28">
        <v>30</v>
      </c>
      <c r="G109" s="28"/>
      <c r="H109" s="23"/>
    </row>
    <row r="110" spans="1:8" ht="13.5" thickBot="1" x14ac:dyDescent="0.25">
      <c r="A110" s="22" t="str">
        <f t="shared" si="2"/>
        <v>Edmondston</v>
      </c>
      <c r="B110" s="23">
        <v>1694</v>
      </c>
      <c r="C110" s="27">
        <v>45876</v>
      </c>
      <c r="D110" s="23" t="s">
        <v>147</v>
      </c>
      <c r="E110" s="89" t="str">
        <f t="shared" si="3"/>
        <v>SQ *SHOWTIME EV</v>
      </c>
      <c r="F110" s="28">
        <v>128.52000000000001</v>
      </c>
      <c r="G110" s="28"/>
      <c r="H110" s="23"/>
    </row>
    <row r="111" spans="1:8" ht="13.5" thickBot="1" x14ac:dyDescent="0.25">
      <c r="A111" s="22" t="str">
        <f t="shared" si="2"/>
        <v>Edmondston</v>
      </c>
      <c r="B111" s="23">
        <v>1694</v>
      </c>
      <c r="C111" s="27">
        <v>45874</v>
      </c>
      <c r="D111" s="23" t="s">
        <v>148</v>
      </c>
      <c r="E111" s="89" t="str">
        <f t="shared" si="3"/>
        <v>CA ANZ SYDNEY A</v>
      </c>
      <c r="F111" s="28">
        <v>899</v>
      </c>
      <c r="G111" s="28"/>
      <c r="H111" s="23"/>
    </row>
    <row r="112" spans="1:8" ht="13.5" thickBot="1" x14ac:dyDescent="0.25">
      <c r="A112" s="22" t="str">
        <f t="shared" si="2"/>
        <v>Edmondston</v>
      </c>
      <c r="B112" s="22">
        <v>1694</v>
      </c>
      <c r="C112" s="27">
        <v>45870</v>
      </c>
      <c r="D112" t="s">
        <v>142</v>
      </c>
      <c r="E112" s="89" t="str">
        <f t="shared" si="3"/>
        <v>GOLDEN NUGGET B</v>
      </c>
      <c r="F112" s="21">
        <v>41.05</v>
      </c>
      <c r="H112" s="23"/>
    </row>
    <row r="113" spans="1:8" ht="13.5" thickBot="1" x14ac:dyDescent="0.25">
      <c r="A113" s="22" t="str">
        <f t="shared" si="2"/>
        <v>Edmondston</v>
      </c>
      <c r="B113" s="23">
        <v>1694</v>
      </c>
      <c r="C113" s="27">
        <v>45869</v>
      </c>
      <c r="D113" s="23" t="s">
        <v>149</v>
      </c>
      <c r="E113" s="89" t="str">
        <f t="shared" si="3"/>
        <v>2 BLOKES  COFFE</v>
      </c>
      <c r="F113" s="28">
        <v>370</v>
      </c>
      <c r="G113" s="28"/>
      <c r="H113" s="23"/>
    </row>
    <row r="114" spans="1:8" ht="13.5" thickBot="1" x14ac:dyDescent="0.25">
      <c r="A114" s="22" t="str">
        <f t="shared" si="2"/>
        <v>Edmondston</v>
      </c>
      <c r="B114" s="22">
        <v>1694</v>
      </c>
      <c r="C114" s="27">
        <v>45865</v>
      </c>
      <c r="D114" t="s">
        <v>151</v>
      </c>
      <c r="E114" s="89" t="str">
        <f t="shared" si="3"/>
        <v>ZLR*Liv Eat Wes</v>
      </c>
      <c r="F114" s="21">
        <v>15.11</v>
      </c>
      <c r="H114" s="23"/>
    </row>
    <row r="115" spans="1:8" ht="13.5" thickBot="1" x14ac:dyDescent="0.25">
      <c r="A115" s="22" t="str">
        <f t="shared" si="2"/>
        <v>Edmondston</v>
      </c>
      <c r="B115" s="22">
        <v>1694</v>
      </c>
      <c r="C115" s="27">
        <v>45864</v>
      </c>
      <c r="D115" t="s">
        <v>152</v>
      </c>
      <c r="E115" s="89" t="str">
        <f t="shared" si="3"/>
        <v>THE FORESHORE T</v>
      </c>
      <c r="F115" s="21">
        <v>9.1</v>
      </c>
      <c r="H115" s="23"/>
    </row>
    <row r="116" spans="1:8" ht="13.5" thickBot="1" x14ac:dyDescent="0.25">
      <c r="A116" s="22" t="str">
        <f t="shared" si="2"/>
        <v>Edmondston</v>
      </c>
      <c r="B116" s="23">
        <v>1694</v>
      </c>
      <c r="C116" s="27">
        <v>45864</v>
      </c>
      <c r="D116" s="23" t="s">
        <v>153</v>
      </c>
      <c r="E116" s="89" t="str">
        <f t="shared" si="3"/>
        <v xml:space="preserve">BELINDA SHEREE </v>
      </c>
      <c r="F116" s="28">
        <v>28</v>
      </c>
      <c r="G116" s="28"/>
      <c r="H116" s="23"/>
    </row>
    <row r="117" spans="1:8" ht="13.5" thickBot="1" x14ac:dyDescent="0.25">
      <c r="A117" s="22" t="str">
        <f t="shared" si="2"/>
        <v>Edmondston</v>
      </c>
      <c r="B117" s="22">
        <v>1694</v>
      </c>
      <c r="C117" s="27">
        <v>45864</v>
      </c>
      <c r="D117" t="s">
        <v>154</v>
      </c>
      <c r="E117" s="89" t="str">
        <f t="shared" si="3"/>
        <v>One North Terra</v>
      </c>
      <c r="F117" s="21">
        <v>604.76</v>
      </c>
      <c r="H117" s="23"/>
    </row>
    <row r="118" spans="1:8" ht="13.5" thickBot="1" x14ac:dyDescent="0.25">
      <c r="A118" s="22" t="str">
        <f t="shared" si="2"/>
        <v>Edmondston</v>
      </c>
      <c r="B118" s="23">
        <v>1694</v>
      </c>
      <c r="C118" s="27">
        <v>45864</v>
      </c>
      <c r="D118" t="s">
        <v>155</v>
      </c>
      <c r="E118" s="89" t="str">
        <f t="shared" si="3"/>
        <v>Penguin Country</v>
      </c>
      <c r="F118" s="21">
        <v>11.1</v>
      </c>
      <c r="H118" s="23"/>
    </row>
    <row r="119" spans="1:8" ht="13.5" thickBot="1" x14ac:dyDescent="0.25">
      <c r="A119" s="22" t="str">
        <f t="shared" si="2"/>
        <v>Edmondston</v>
      </c>
      <c r="B119" s="22">
        <v>1694</v>
      </c>
      <c r="C119" s="27">
        <v>45863</v>
      </c>
      <c r="D119" t="s">
        <v>156</v>
      </c>
      <c r="E119" s="89" t="str">
        <f t="shared" si="3"/>
        <v>SQ *EMBER &amp; VIN</v>
      </c>
      <c r="F119" s="21">
        <v>135.5</v>
      </c>
      <c r="H119" s="23"/>
    </row>
    <row r="120" spans="1:8" ht="13.5" thickBot="1" x14ac:dyDescent="0.25">
      <c r="A120" s="22" t="str">
        <f t="shared" si="2"/>
        <v>Edmondston</v>
      </c>
      <c r="B120" s="23">
        <v>1694</v>
      </c>
      <c r="C120" s="27">
        <v>45863</v>
      </c>
      <c r="D120" s="23" t="s">
        <v>153</v>
      </c>
      <c r="E120" s="89" t="str">
        <f t="shared" si="3"/>
        <v xml:space="preserve">BELINDA SHEREE </v>
      </c>
      <c r="F120" s="28">
        <v>15.5</v>
      </c>
      <c r="G120" s="28"/>
      <c r="H120" s="23"/>
    </row>
    <row r="121" spans="1:8" ht="13.5" thickBot="1" x14ac:dyDescent="0.25">
      <c r="A121" s="22" t="str">
        <f t="shared" si="2"/>
        <v>Edmondston</v>
      </c>
      <c r="B121" s="23">
        <v>1694</v>
      </c>
      <c r="C121" s="27">
        <v>45863</v>
      </c>
      <c r="D121" s="23" t="s">
        <v>42</v>
      </c>
      <c r="E121" s="89" t="str">
        <f t="shared" si="3"/>
        <v>UBER *TRIP HELP</v>
      </c>
      <c r="F121" s="28">
        <v>19.87</v>
      </c>
      <c r="G121" s="28"/>
      <c r="H121" s="23"/>
    </row>
    <row r="122" spans="1:8" ht="13.5" thickBot="1" x14ac:dyDescent="0.25">
      <c r="A122" s="22" t="str">
        <f t="shared" si="2"/>
        <v>Edmondston</v>
      </c>
      <c r="B122" s="23">
        <v>1694</v>
      </c>
      <c r="C122" s="27">
        <v>45862</v>
      </c>
      <c r="D122" s="23" t="s">
        <v>157</v>
      </c>
      <c r="E122" s="89" t="str">
        <f t="shared" si="3"/>
        <v>KFC BURNIE BURN</v>
      </c>
      <c r="F122" s="28">
        <v>15.45</v>
      </c>
      <c r="G122" s="28"/>
      <c r="H122" s="23"/>
    </row>
    <row r="123" spans="1:8" ht="13.5" thickBot="1" x14ac:dyDescent="0.25">
      <c r="A123" s="22" t="str">
        <f t="shared" si="2"/>
        <v>Edmondston</v>
      </c>
      <c r="B123" s="23">
        <v>1694</v>
      </c>
      <c r="C123" s="27">
        <v>45862</v>
      </c>
      <c r="D123" s="23" t="s">
        <v>158</v>
      </c>
      <c r="E123" s="89" t="str">
        <f t="shared" si="3"/>
        <v>EMU BAY T 04483</v>
      </c>
      <c r="F123" s="28">
        <v>65.41</v>
      </c>
      <c r="G123" s="28"/>
      <c r="H123" s="23"/>
    </row>
    <row r="124" spans="1:8" ht="13.5" thickBot="1" x14ac:dyDescent="0.25">
      <c r="A124" s="22" t="str">
        <f t="shared" si="2"/>
        <v>Edmondston</v>
      </c>
      <c r="B124" s="22">
        <v>1694</v>
      </c>
      <c r="C124" s="27">
        <v>45862</v>
      </c>
      <c r="D124" t="s">
        <v>159</v>
      </c>
      <c r="E124" s="89" t="str">
        <f t="shared" si="3"/>
        <v>STATION REFRESH</v>
      </c>
      <c r="F124" s="21">
        <v>8.1999999999999993</v>
      </c>
      <c r="H124" s="23"/>
    </row>
    <row r="125" spans="1:8" ht="13.5" thickBot="1" x14ac:dyDescent="0.25">
      <c r="A125" s="22" t="str">
        <f t="shared" si="2"/>
        <v>Edmondston</v>
      </c>
      <c r="B125" s="23">
        <v>1694</v>
      </c>
      <c r="C125" s="27">
        <v>45861</v>
      </c>
      <c r="D125" s="23" t="s">
        <v>160</v>
      </c>
      <c r="E125" s="89" t="str">
        <f t="shared" si="3"/>
        <v>Airport Shuttle</v>
      </c>
      <c r="F125" s="28">
        <v>90</v>
      </c>
      <c r="G125" s="28"/>
      <c r="H125" s="23"/>
    </row>
    <row r="126" spans="1:8" ht="13.5" thickBot="1" x14ac:dyDescent="0.25">
      <c r="A126" s="22" t="str">
        <f t="shared" si="2"/>
        <v>Gort</v>
      </c>
      <c r="B126" s="23">
        <v>3540</v>
      </c>
      <c r="C126" s="24">
        <v>45867</v>
      </c>
      <c r="D126" s="23" t="s">
        <v>162</v>
      </c>
      <c r="E126" s="89" t="str">
        <f t="shared" si="3"/>
        <v>Yoast B.V. merc</v>
      </c>
      <c r="F126" s="28">
        <v>422.72</v>
      </c>
      <c r="G126" s="28"/>
      <c r="H126" s="23"/>
    </row>
    <row r="127" spans="1:8" ht="13.5" thickBot="1" x14ac:dyDescent="0.25">
      <c r="A127" s="22" t="str">
        <f t="shared" si="2"/>
        <v>Gort</v>
      </c>
      <c r="B127" s="22">
        <v>3540</v>
      </c>
      <c r="C127" s="27">
        <v>45863</v>
      </c>
      <c r="D127" t="s">
        <v>163</v>
      </c>
      <c r="E127" s="89" t="str">
        <f t="shared" si="3"/>
        <v>Adobe Sydney AU</v>
      </c>
      <c r="F127" s="21">
        <v>96.99</v>
      </c>
      <c r="H127" s="23"/>
    </row>
    <row r="128" spans="1:8" ht="13.5" thickBot="1" x14ac:dyDescent="0.25">
      <c r="A128" s="22" t="str">
        <f t="shared" si="2"/>
        <v>Gort</v>
      </c>
      <c r="B128" s="23">
        <v>3540</v>
      </c>
      <c r="C128" s="27">
        <v>45856</v>
      </c>
      <c r="D128" t="s">
        <v>164</v>
      </c>
      <c r="E128" s="89" t="str">
        <f t="shared" si="3"/>
        <v>CODETWO JELENIA</v>
      </c>
      <c r="F128" s="28">
        <v>103.08</v>
      </c>
      <c r="G128" s="28"/>
      <c r="H128" s="23"/>
    </row>
    <row r="129" spans="1:8" ht="13.5" thickBot="1" x14ac:dyDescent="0.25">
      <c r="A129" s="22" t="str">
        <f t="shared" si="2"/>
        <v>Grigg</v>
      </c>
      <c r="B129" s="23">
        <v>8338</v>
      </c>
      <c r="C129" s="27">
        <v>45882</v>
      </c>
      <c r="D129" s="23" t="s">
        <v>166</v>
      </c>
      <c r="E129" s="89" t="str">
        <f t="shared" si="3"/>
        <v>WHSMITH SYD PIE</v>
      </c>
      <c r="F129" s="28">
        <v>10.130000000000001</v>
      </c>
      <c r="G129" s="28"/>
      <c r="H129" s="23"/>
    </row>
    <row r="130" spans="1:8" ht="13.5" thickBot="1" x14ac:dyDescent="0.25">
      <c r="A130" s="22" t="str">
        <f t="shared" ref="A130:A193" si="4">VLOOKUP(B130,$K$2:$L$29,2,FALSE)</f>
        <v>Grigg</v>
      </c>
      <c r="B130" s="23">
        <v>8338</v>
      </c>
      <c r="C130" s="27">
        <v>45882</v>
      </c>
      <c r="D130" s="23" t="s">
        <v>169</v>
      </c>
      <c r="E130" s="89" t="str">
        <f t="shared" ref="E130:E193" si="5">LEFT(D130,15)</f>
        <v>TRANSPORTFORNSW</v>
      </c>
      <c r="F130" s="28">
        <v>8.0299999999999994</v>
      </c>
      <c r="G130" s="28"/>
      <c r="H130" s="23"/>
    </row>
    <row r="131" spans="1:8" ht="13.5" thickBot="1" x14ac:dyDescent="0.25">
      <c r="A131" s="22" t="str">
        <f t="shared" si="4"/>
        <v>Grigg</v>
      </c>
      <c r="B131" s="23">
        <v>8338</v>
      </c>
      <c r="C131" s="27">
        <v>45882</v>
      </c>
      <c r="D131" s="23" t="s">
        <v>171</v>
      </c>
      <c r="E131" s="89" t="str">
        <f t="shared" si="5"/>
        <v>ZLR*S1TOBYA Mas</v>
      </c>
      <c r="F131" s="28">
        <v>6.59</v>
      </c>
      <c r="G131" s="28"/>
      <c r="H131" s="23"/>
    </row>
    <row r="132" spans="1:8" ht="13.5" thickBot="1" x14ac:dyDescent="0.25">
      <c r="A132" s="22" t="str">
        <f t="shared" si="4"/>
        <v>Grigg</v>
      </c>
      <c r="B132" s="23">
        <v>8338</v>
      </c>
      <c r="C132" s="27">
        <v>45881</v>
      </c>
      <c r="D132" t="s">
        <v>172</v>
      </c>
      <c r="E132" s="89" t="str">
        <f t="shared" si="5"/>
        <v xml:space="preserve">UFS HEALTHCARE </v>
      </c>
      <c r="F132" s="21">
        <v>27.18</v>
      </c>
      <c r="H132" s="23"/>
    </row>
    <row r="133" spans="1:8" ht="13.5" thickBot="1" x14ac:dyDescent="0.25">
      <c r="A133" s="22" t="str">
        <f t="shared" si="4"/>
        <v>Grigg</v>
      </c>
      <c r="B133" s="23">
        <v>8338</v>
      </c>
      <c r="C133" s="27">
        <v>45881</v>
      </c>
      <c r="D133" t="s">
        <v>174</v>
      </c>
      <c r="E133" s="89" t="str">
        <f t="shared" si="5"/>
        <v xml:space="preserve">APCO ALFREDTON </v>
      </c>
      <c r="F133" s="21">
        <v>112.79</v>
      </c>
      <c r="H133" s="23"/>
    </row>
    <row r="134" spans="1:8" ht="13.5" thickBot="1" x14ac:dyDescent="0.25">
      <c r="A134" s="22" t="str">
        <f t="shared" si="4"/>
        <v>Grigg</v>
      </c>
      <c r="B134" s="23">
        <v>8338</v>
      </c>
      <c r="C134" s="27">
        <v>45881</v>
      </c>
      <c r="D134" t="s">
        <v>176</v>
      </c>
      <c r="E134" s="89" t="str">
        <f t="shared" si="5"/>
        <v>THINK ASIA T4 M</v>
      </c>
      <c r="F134" s="21">
        <v>31.82</v>
      </c>
      <c r="H134" s="23"/>
    </row>
    <row r="135" spans="1:8" ht="13.5" thickBot="1" x14ac:dyDescent="0.25">
      <c r="A135" s="22" t="str">
        <f t="shared" si="4"/>
        <v>Grigg</v>
      </c>
      <c r="B135" s="23">
        <v>8338</v>
      </c>
      <c r="C135" s="27">
        <v>45881</v>
      </c>
      <c r="D135" t="s">
        <v>178</v>
      </c>
      <c r="E135" s="89" t="str">
        <f t="shared" si="5"/>
        <v>MELBOURNE AIRPO</v>
      </c>
      <c r="F135" s="21">
        <v>111</v>
      </c>
      <c r="H135" s="23"/>
    </row>
    <row r="136" spans="1:8" ht="13.5" thickBot="1" x14ac:dyDescent="0.25">
      <c r="A136" s="22" t="str">
        <f t="shared" si="4"/>
        <v>Grigg</v>
      </c>
      <c r="B136" s="23">
        <v>8338</v>
      </c>
      <c r="C136" s="27">
        <v>45880</v>
      </c>
      <c r="D136" t="s">
        <v>42</v>
      </c>
      <c r="E136" s="89" t="str">
        <f t="shared" si="5"/>
        <v>UBER *TRIP HELP</v>
      </c>
      <c r="F136" s="21">
        <v>12.05</v>
      </c>
      <c r="H136" s="23"/>
    </row>
    <row r="137" spans="1:8" ht="13.5" thickBot="1" x14ac:dyDescent="0.25">
      <c r="A137" s="22" t="str">
        <f t="shared" si="4"/>
        <v>Grigg</v>
      </c>
      <c r="B137" s="23">
        <v>8338</v>
      </c>
      <c r="C137" s="27">
        <v>45879</v>
      </c>
      <c r="D137" t="s">
        <v>179</v>
      </c>
      <c r="E137" s="89" t="str">
        <f t="shared" si="5"/>
        <v>VIRGIN AU795442</v>
      </c>
      <c r="F137" s="21">
        <v>263.31</v>
      </c>
      <c r="H137" s="23"/>
    </row>
    <row r="138" spans="1:8" ht="13.5" thickBot="1" x14ac:dyDescent="0.25">
      <c r="A138" s="22" t="str">
        <f t="shared" si="4"/>
        <v>Grigg</v>
      </c>
      <c r="B138" s="23">
        <v>8338</v>
      </c>
      <c r="C138" s="27">
        <v>45879</v>
      </c>
      <c r="D138" t="s">
        <v>181</v>
      </c>
      <c r="E138" s="89" t="str">
        <f t="shared" si="5"/>
        <v>QANTAS081237450</v>
      </c>
      <c r="F138" s="21">
        <v>385.79</v>
      </c>
      <c r="H138" s="23"/>
    </row>
    <row r="139" spans="1:8" ht="13.5" thickBot="1" x14ac:dyDescent="0.25">
      <c r="A139" s="22" t="str">
        <f t="shared" si="4"/>
        <v>Grigg</v>
      </c>
      <c r="B139" s="23">
        <v>8338</v>
      </c>
      <c r="C139" s="27">
        <v>45877</v>
      </c>
      <c r="D139" t="s">
        <v>42</v>
      </c>
      <c r="E139" s="89" t="str">
        <f t="shared" si="5"/>
        <v>UBER *TRIP HELP</v>
      </c>
      <c r="F139" s="21">
        <v>8.94</v>
      </c>
      <c r="H139" s="23"/>
    </row>
    <row r="140" spans="1:8" ht="13.5" thickBot="1" x14ac:dyDescent="0.25">
      <c r="A140" s="22" t="str">
        <f t="shared" si="4"/>
        <v>Grigg</v>
      </c>
      <c r="B140" s="23">
        <v>8338</v>
      </c>
      <c r="C140" s="27">
        <v>45877</v>
      </c>
      <c r="D140" t="s">
        <v>42</v>
      </c>
      <c r="E140" s="89" t="str">
        <f t="shared" si="5"/>
        <v>UBER *TRIP HELP</v>
      </c>
      <c r="F140" s="21">
        <v>173.35</v>
      </c>
      <c r="H140" s="23"/>
    </row>
    <row r="141" spans="1:8" ht="13.5" thickBot="1" x14ac:dyDescent="0.25">
      <c r="A141" s="22" t="str">
        <f t="shared" si="4"/>
        <v>Grigg</v>
      </c>
      <c r="B141" s="23">
        <v>8338</v>
      </c>
      <c r="C141" s="27">
        <v>45877</v>
      </c>
      <c r="D141" t="s">
        <v>42</v>
      </c>
      <c r="E141" s="89" t="str">
        <f t="shared" si="5"/>
        <v>UBER *TRIP HELP</v>
      </c>
      <c r="F141" s="21">
        <v>31.53</v>
      </c>
      <c r="H141" s="23"/>
    </row>
    <row r="142" spans="1:8" ht="13.5" thickBot="1" x14ac:dyDescent="0.25">
      <c r="A142" s="22" t="str">
        <f t="shared" si="4"/>
        <v>Grigg</v>
      </c>
      <c r="B142" s="23">
        <v>8338</v>
      </c>
      <c r="C142" s="27">
        <v>45877</v>
      </c>
      <c r="D142" t="s">
        <v>183</v>
      </c>
      <c r="E142" s="89" t="str">
        <f t="shared" si="5"/>
        <v xml:space="preserve">MondoMenu Long </v>
      </c>
      <c r="F142" s="21">
        <v>35.61</v>
      </c>
      <c r="H142" s="23"/>
    </row>
    <row r="143" spans="1:8" ht="13.5" thickBot="1" x14ac:dyDescent="0.25">
      <c r="A143" s="22" t="str">
        <f t="shared" si="4"/>
        <v>Grigg</v>
      </c>
      <c r="B143" s="23">
        <v>8338</v>
      </c>
      <c r="C143" s="27">
        <v>45876</v>
      </c>
      <c r="D143" t="s">
        <v>185</v>
      </c>
      <c r="E143" s="89" t="str">
        <f t="shared" si="5"/>
        <v>H.I. West Perth</v>
      </c>
      <c r="F143" s="21">
        <v>282.67</v>
      </c>
      <c r="H143" s="23"/>
    </row>
    <row r="144" spans="1:8" ht="13.5" thickBot="1" x14ac:dyDescent="0.25">
      <c r="A144" s="22" t="str">
        <f t="shared" si="4"/>
        <v>Grigg</v>
      </c>
      <c r="B144" s="23">
        <v>8338</v>
      </c>
      <c r="C144" s="27">
        <v>45876</v>
      </c>
      <c r="D144" t="s">
        <v>187</v>
      </c>
      <c r="E144" s="89" t="str">
        <f t="shared" si="5"/>
        <v>BP KAMBALDA 623</v>
      </c>
      <c r="F144" s="21">
        <v>64.099999999999994</v>
      </c>
      <c r="H144" s="23"/>
    </row>
    <row r="145" spans="1:8" ht="13.5" thickBot="1" x14ac:dyDescent="0.25">
      <c r="A145" s="22" t="str">
        <f t="shared" si="4"/>
        <v>Grigg</v>
      </c>
      <c r="B145" s="23">
        <v>8338</v>
      </c>
      <c r="C145" s="27">
        <v>45876</v>
      </c>
      <c r="D145" t="s">
        <v>188</v>
      </c>
      <c r="E145" s="89" t="str">
        <f t="shared" si="5"/>
        <v>TheMelbourneHot</v>
      </c>
      <c r="F145" s="21">
        <v>62.93</v>
      </c>
      <c r="H145" s="23"/>
    </row>
    <row r="146" spans="1:8" ht="13.5" thickBot="1" x14ac:dyDescent="0.25">
      <c r="A146" s="22" t="str">
        <f t="shared" si="4"/>
        <v>Grigg</v>
      </c>
      <c r="B146" s="23">
        <v>8338</v>
      </c>
      <c r="C146" s="27">
        <v>45876</v>
      </c>
      <c r="D146" t="s">
        <v>190</v>
      </c>
      <c r="E146" s="89" t="str">
        <f t="shared" si="5"/>
        <v>Live Payments B</v>
      </c>
      <c r="F146" s="21">
        <v>51.14</v>
      </c>
      <c r="H146" s="23"/>
    </row>
    <row r="147" spans="1:8" ht="13.5" thickBot="1" x14ac:dyDescent="0.25">
      <c r="A147" s="22" t="str">
        <f t="shared" si="4"/>
        <v>Grigg</v>
      </c>
      <c r="B147" s="23">
        <v>8338</v>
      </c>
      <c r="C147" s="27">
        <v>45875</v>
      </c>
      <c r="D147" t="s">
        <v>191</v>
      </c>
      <c r="E147" s="89" t="str">
        <f t="shared" si="5"/>
        <v xml:space="preserve">TWIN CITY 9021 </v>
      </c>
      <c r="F147" s="21">
        <v>12.29</v>
      </c>
      <c r="H147" s="23"/>
    </row>
    <row r="148" spans="1:8" ht="13.5" thickBot="1" x14ac:dyDescent="0.25">
      <c r="A148" s="22" t="str">
        <f t="shared" si="4"/>
        <v>Grigg</v>
      </c>
      <c r="B148" s="23">
        <v>8338</v>
      </c>
      <c r="C148" s="27">
        <v>45875</v>
      </c>
      <c r="D148" t="s">
        <v>192</v>
      </c>
      <c r="E148" s="89" t="str">
        <f t="shared" si="5"/>
        <v>STAR AND GARTER</v>
      </c>
      <c r="F148" s="21">
        <v>47.5</v>
      </c>
      <c r="H148" s="23"/>
    </row>
    <row r="149" spans="1:8" ht="13.5" thickBot="1" x14ac:dyDescent="0.25">
      <c r="A149" s="22" t="str">
        <f t="shared" si="4"/>
        <v>Grigg</v>
      </c>
      <c r="B149" s="23">
        <v>8338</v>
      </c>
      <c r="C149" s="27">
        <v>45875</v>
      </c>
      <c r="D149" t="s">
        <v>192</v>
      </c>
      <c r="E149" s="89" t="str">
        <f t="shared" si="5"/>
        <v>STAR AND GARTER</v>
      </c>
      <c r="F149" s="21">
        <v>23.5</v>
      </c>
      <c r="H149" s="23"/>
    </row>
    <row r="150" spans="1:8" ht="13.5" thickBot="1" x14ac:dyDescent="0.25">
      <c r="A150" s="22" t="str">
        <f t="shared" si="4"/>
        <v>Grigg</v>
      </c>
      <c r="B150" s="23">
        <v>8338</v>
      </c>
      <c r="C150" s="27">
        <v>45875</v>
      </c>
      <c r="D150" t="s">
        <v>54</v>
      </c>
      <c r="E150" s="89" t="str">
        <f t="shared" si="5"/>
        <v>PALACE HOTEL KA</v>
      </c>
      <c r="F150" s="21">
        <v>45.5</v>
      </c>
      <c r="H150" s="23"/>
    </row>
    <row r="151" spans="1:8" ht="13.5" thickBot="1" x14ac:dyDescent="0.25">
      <c r="A151" s="22" t="str">
        <f t="shared" si="4"/>
        <v>Grigg</v>
      </c>
      <c r="B151" s="23">
        <v>8338</v>
      </c>
      <c r="C151" s="27">
        <v>45875</v>
      </c>
      <c r="D151" t="s">
        <v>191</v>
      </c>
      <c r="E151" s="89" t="str">
        <f t="shared" si="5"/>
        <v xml:space="preserve">TWIN CITY 9021 </v>
      </c>
      <c r="F151" s="21">
        <v>16.170000000000002</v>
      </c>
      <c r="H151" s="23"/>
    </row>
    <row r="152" spans="1:8" ht="13.5" thickBot="1" x14ac:dyDescent="0.25">
      <c r="A152" s="22" t="str">
        <f t="shared" si="4"/>
        <v>Grigg</v>
      </c>
      <c r="B152" s="23">
        <v>8338</v>
      </c>
      <c r="C152" s="27">
        <v>45875</v>
      </c>
      <c r="D152" t="s">
        <v>190</v>
      </c>
      <c r="E152" s="89" t="str">
        <f t="shared" si="5"/>
        <v>Live Payments B</v>
      </c>
      <c r="F152" s="21">
        <v>14.17</v>
      </c>
      <c r="H152" s="23"/>
    </row>
    <row r="153" spans="1:8" ht="13.5" thickBot="1" x14ac:dyDescent="0.25">
      <c r="A153" s="22" t="str">
        <f t="shared" si="4"/>
        <v>Grigg</v>
      </c>
      <c r="B153" s="23">
        <v>8338</v>
      </c>
      <c r="C153" s="27">
        <v>45874</v>
      </c>
      <c r="D153" t="s">
        <v>56</v>
      </c>
      <c r="E153" s="89" t="str">
        <f t="shared" si="5"/>
        <v xml:space="preserve">Exchange Hotel </v>
      </c>
      <c r="F153" s="21">
        <v>39.590000000000003</v>
      </c>
      <c r="H153" s="23"/>
    </row>
    <row r="154" spans="1:8" ht="13.5" thickBot="1" x14ac:dyDescent="0.25">
      <c r="A154" s="22" t="str">
        <f t="shared" si="4"/>
        <v>Grigg</v>
      </c>
      <c r="B154" s="23">
        <v>8338</v>
      </c>
      <c r="C154" s="27">
        <v>45874</v>
      </c>
      <c r="D154" t="s">
        <v>56</v>
      </c>
      <c r="E154" s="89" t="str">
        <f t="shared" si="5"/>
        <v xml:space="preserve">Exchange Hotel </v>
      </c>
      <c r="F154" s="21">
        <v>53.8</v>
      </c>
      <c r="H154" s="23"/>
    </row>
    <row r="155" spans="1:8" ht="13.5" thickBot="1" x14ac:dyDescent="0.25">
      <c r="A155" s="22" t="str">
        <f t="shared" si="4"/>
        <v>Grigg</v>
      </c>
      <c r="B155" s="23">
        <v>8338</v>
      </c>
      <c r="C155" s="27">
        <v>45874</v>
      </c>
      <c r="D155" t="s">
        <v>54</v>
      </c>
      <c r="E155" s="89" t="str">
        <f t="shared" si="5"/>
        <v>PALACE HOTEL KA</v>
      </c>
      <c r="F155" s="21">
        <v>42.46</v>
      </c>
      <c r="H155" s="23"/>
    </row>
    <row r="156" spans="1:8" ht="13.5" thickBot="1" x14ac:dyDescent="0.25">
      <c r="A156" s="22" t="str">
        <f t="shared" si="4"/>
        <v>Grigg</v>
      </c>
      <c r="B156" s="23">
        <v>8338</v>
      </c>
      <c r="C156" s="27">
        <v>45874</v>
      </c>
      <c r="D156" t="s">
        <v>56</v>
      </c>
      <c r="E156" s="89" t="str">
        <f t="shared" si="5"/>
        <v xml:space="preserve">Exchange Hotel </v>
      </c>
      <c r="F156" s="21">
        <v>30.45</v>
      </c>
      <c r="H156" s="23"/>
    </row>
    <row r="157" spans="1:8" ht="13.5" thickBot="1" x14ac:dyDescent="0.25">
      <c r="A157" s="22" t="str">
        <f t="shared" si="4"/>
        <v>Grigg</v>
      </c>
      <c r="B157" s="23">
        <v>8338</v>
      </c>
      <c r="C157" s="27">
        <v>45874</v>
      </c>
      <c r="D157" t="s">
        <v>194</v>
      </c>
      <c r="E157" s="89" t="str">
        <f t="shared" si="5"/>
        <v>GM TAXIPAY MASC</v>
      </c>
      <c r="F157" s="21">
        <v>11.97</v>
      </c>
      <c r="H157" s="23"/>
    </row>
    <row r="158" spans="1:8" ht="13.5" thickBot="1" x14ac:dyDescent="0.25">
      <c r="A158" s="22" t="str">
        <f t="shared" si="4"/>
        <v>Grigg</v>
      </c>
      <c r="B158" s="23">
        <v>8338</v>
      </c>
      <c r="C158" s="27">
        <v>45873</v>
      </c>
      <c r="D158" t="s">
        <v>191</v>
      </c>
      <c r="E158" s="89" t="str">
        <f t="shared" si="5"/>
        <v xml:space="preserve">TWIN CITY 9021 </v>
      </c>
      <c r="F158" s="21">
        <v>15.65</v>
      </c>
      <c r="H158" s="23"/>
    </row>
    <row r="159" spans="1:8" ht="13.5" thickBot="1" x14ac:dyDescent="0.25">
      <c r="A159" s="22" t="str">
        <f t="shared" si="4"/>
        <v>Grigg</v>
      </c>
      <c r="B159" s="23">
        <v>8338</v>
      </c>
      <c r="C159" s="27">
        <v>45873</v>
      </c>
      <c r="D159" t="s">
        <v>56</v>
      </c>
      <c r="E159" s="89" t="str">
        <f t="shared" si="5"/>
        <v xml:space="preserve">Exchange Hotel </v>
      </c>
      <c r="F159" s="21">
        <v>76.13</v>
      </c>
      <c r="H159" s="23"/>
    </row>
    <row r="160" spans="1:8" ht="13.5" thickBot="1" x14ac:dyDescent="0.25">
      <c r="A160" s="22" t="str">
        <f t="shared" si="4"/>
        <v>Grigg</v>
      </c>
      <c r="B160" s="23">
        <v>8338</v>
      </c>
      <c r="C160" s="27">
        <v>45873</v>
      </c>
      <c r="D160" t="s">
        <v>56</v>
      </c>
      <c r="E160" s="89" t="str">
        <f t="shared" si="5"/>
        <v xml:space="preserve">Exchange Hotel </v>
      </c>
      <c r="F160" s="21">
        <v>51.77</v>
      </c>
      <c r="H160" s="23"/>
    </row>
    <row r="161" spans="1:8" ht="13.5" thickBot="1" x14ac:dyDescent="0.25">
      <c r="A161" s="22" t="str">
        <f t="shared" si="4"/>
        <v>Grigg</v>
      </c>
      <c r="B161" s="23">
        <v>8338</v>
      </c>
      <c r="C161" s="27">
        <v>45872</v>
      </c>
      <c r="D161" t="s">
        <v>196</v>
      </c>
      <c r="E161" s="89" t="str">
        <f t="shared" si="5"/>
        <v>Holiday Inn Per</v>
      </c>
      <c r="F161" s="21">
        <v>501.45</v>
      </c>
      <c r="H161" s="23"/>
    </row>
    <row r="162" spans="1:8" ht="13.5" thickBot="1" x14ac:dyDescent="0.25">
      <c r="A162" s="22" t="str">
        <f t="shared" si="4"/>
        <v>Grigg</v>
      </c>
      <c r="B162" s="23">
        <v>8338</v>
      </c>
      <c r="C162" s="27">
        <v>45872</v>
      </c>
      <c r="D162" t="s">
        <v>196</v>
      </c>
      <c r="E162" s="89" t="str">
        <f t="shared" si="5"/>
        <v>Holiday Inn Per</v>
      </c>
      <c r="F162" s="21">
        <v>501.45</v>
      </c>
      <c r="H162" s="23"/>
    </row>
    <row r="163" spans="1:8" ht="13.5" thickBot="1" x14ac:dyDescent="0.25">
      <c r="A163" s="22" t="str">
        <f t="shared" si="4"/>
        <v>Grigg</v>
      </c>
      <c r="B163" s="23">
        <v>8338</v>
      </c>
      <c r="C163" s="27">
        <v>45872</v>
      </c>
      <c r="D163" t="s">
        <v>192</v>
      </c>
      <c r="E163" s="89" t="str">
        <f t="shared" si="5"/>
        <v>STAR AND GARTER</v>
      </c>
      <c r="F163" s="21">
        <v>54</v>
      </c>
      <c r="H163" s="23"/>
    </row>
    <row r="164" spans="1:8" ht="13.5" thickBot="1" x14ac:dyDescent="0.25">
      <c r="A164" s="22" t="str">
        <f t="shared" si="4"/>
        <v>Grigg</v>
      </c>
      <c r="B164" s="23">
        <v>8338</v>
      </c>
      <c r="C164" s="27">
        <v>45872</v>
      </c>
      <c r="D164" t="s">
        <v>192</v>
      </c>
      <c r="E164" s="89" t="str">
        <f t="shared" si="5"/>
        <v>STAR AND GARTER</v>
      </c>
      <c r="F164" s="21">
        <v>54.7</v>
      </c>
      <c r="H164" s="23"/>
    </row>
    <row r="165" spans="1:8" ht="13.5" thickBot="1" x14ac:dyDescent="0.25">
      <c r="A165" s="22" t="str">
        <f t="shared" si="4"/>
        <v>Grigg</v>
      </c>
      <c r="B165" s="23">
        <v>8338</v>
      </c>
      <c r="C165" s="27">
        <v>45872</v>
      </c>
      <c r="D165" t="s">
        <v>198</v>
      </c>
      <c r="E165" s="89" t="str">
        <f t="shared" si="5"/>
        <v>Subway Merredin</v>
      </c>
      <c r="F165" s="21">
        <v>61.05</v>
      </c>
      <c r="H165" s="23"/>
    </row>
    <row r="166" spans="1:8" ht="13.5" thickBot="1" x14ac:dyDescent="0.25">
      <c r="A166" s="22" t="str">
        <f t="shared" si="4"/>
        <v>Grigg</v>
      </c>
      <c r="B166" s="23">
        <v>8338</v>
      </c>
      <c r="C166" s="27">
        <v>45872</v>
      </c>
      <c r="D166" t="s">
        <v>200</v>
      </c>
      <c r="E166" s="89" t="str">
        <f t="shared" si="5"/>
        <v>NovotelPERMurra</v>
      </c>
      <c r="F166" s="21">
        <v>133.85</v>
      </c>
      <c r="H166" s="23"/>
    </row>
    <row r="167" spans="1:8" ht="13.5" thickBot="1" x14ac:dyDescent="0.25">
      <c r="A167" s="22" t="str">
        <f t="shared" si="4"/>
        <v>Grigg</v>
      </c>
      <c r="B167" s="23">
        <v>8338</v>
      </c>
      <c r="C167" s="27">
        <v>45872</v>
      </c>
      <c r="D167" t="s">
        <v>201</v>
      </c>
      <c r="E167" s="89" t="str">
        <f t="shared" si="5"/>
        <v>Kalgoorlie Phar</v>
      </c>
      <c r="F167" s="21">
        <v>54.95</v>
      </c>
      <c r="H167" s="23"/>
    </row>
    <row r="168" spans="1:8" ht="13.5" thickBot="1" x14ac:dyDescent="0.25">
      <c r="A168" s="22" t="str">
        <f t="shared" si="4"/>
        <v>Grigg</v>
      </c>
      <c r="B168" s="23">
        <v>8338</v>
      </c>
      <c r="C168" s="27">
        <v>45871</v>
      </c>
      <c r="D168" s="23" t="s">
        <v>202</v>
      </c>
      <c r="E168" s="89" t="str">
        <f t="shared" si="5"/>
        <v xml:space="preserve">ALH VENUES     </v>
      </c>
      <c r="F168" s="28">
        <v>25.4</v>
      </c>
      <c r="G168" s="28"/>
      <c r="H168" s="23"/>
    </row>
    <row r="169" spans="1:8" ht="13.5" thickBot="1" x14ac:dyDescent="0.25">
      <c r="A169" s="22" t="str">
        <f t="shared" si="4"/>
        <v>Grigg</v>
      </c>
      <c r="B169" s="22">
        <v>8338</v>
      </c>
      <c r="C169" s="27">
        <v>45871</v>
      </c>
      <c r="D169" t="s">
        <v>202</v>
      </c>
      <c r="E169" s="89" t="str">
        <f t="shared" si="5"/>
        <v xml:space="preserve">ALH VENUES     </v>
      </c>
      <c r="F169" s="21">
        <v>25.4</v>
      </c>
      <c r="H169" s="23"/>
    </row>
    <row r="170" spans="1:8" ht="13.5" thickBot="1" x14ac:dyDescent="0.25">
      <c r="A170" s="22" t="str">
        <f t="shared" si="4"/>
        <v>Grigg</v>
      </c>
      <c r="B170" s="23">
        <v>8338</v>
      </c>
      <c r="C170" s="27">
        <v>45871</v>
      </c>
      <c r="D170" s="23" t="s">
        <v>202</v>
      </c>
      <c r="E170" s="89" t="str">
        <f t="shared" si="5"/>
        <v xml:space="preserve">ALH VENUES     </v>
      </c>
      <c r="F170" s="28">
        <v>46.1</v>
      </c>
      <c r="G170" s="28"/>
      <c r="H170" s="23"/>
    </row>
    <row r="171" spans="1:8" ht="13.5" thickBot="1" x14ac:dyDescent="0.25">
      <c r="A171" s="22" t="str">
        <f t="shared" si="4"/>
        <v>Grigg</v>
      </c>
      <c r="B171" s="22">
        <v>8338</v>
      </c>
      <c r="C171" s="27">
        <v>45871</v>
      </c>
      <c r="D171" t="s">
        <v>202</v>
      </c>
      <c r="E171" s="89" t="str">
        <f t="shared" si="5"/>
        <v xml:space="preserve">ALH VENUES     </v>
      </c>
      <c r="F171" s="21">
        <v>76</v>
      </c>
      <c r="H171" s="23"/>
    </row>
    <row r="172" spans="1:8" ht="13.5" thickBot="1" x14ac:dyDescent="0.25">
      <c r="A172" s="22" t="str">
        <f t="shared" si="4"/>
        <v>Grigg</v>
      </c>
      <c r="B172" s="22">
        <v>8338</v>
      </c>
      <c r="C172" s="27">
        <v>45871</v>
      </c>
      <c r="D172" t="s">
        <v>202</v>
      </c>
      <c r="E172" s="89" t="str">
        <f t="shared" si="5"/>
        <v xml:space="preserve">ALH VENUES     </v>
      </c>
      <c r="F172" s="21">
        <v>31.1</v>
      </c>
      <c r="H172" s="23"/>
    </row>
    <row r="173" spans="1:8" ht="13.5" thickBot="1" x14ac:dyDescent="0.25">
      <c r="A173" s="22" t="str">
        <f t="shared" si="4"/>
        <v>Grigg</v>
      </c>
      <c r="B173" s="22">
        <v>8338</v>
      </c>
      <c r="C173" s="27">
        <v>45871</v>
      </c>
      <c r="D173" t="s">
        <v>202</v>
      </c>
      <c r="E173" s="89" t="str">
        <f t="shared" si="5"/>
        <v xml:space="preserve">ALH VENUES     </v>
      </c>
      <c r="F173" s="21">
        <v>15</v>
      </c>
      <c r="H173" s="23"/>
    </row>
    <row r="174" spans="1:8" ht="13.5" thickBot="1" x14ac:dyDescent="0.25">
      <c r="A174" s="22" t="str">
        <f t="shared" si="4"/>
        <v>Grigg</v>
      </c>
      <c r="B174" s="23">
        <v>8338</v>
      </c>
      <c r="C174" s="27">
        <v>45871</v>
      </c>
      <c r="D174" s="23" t="s">
        <v>57</v>
      </c>
      <c r="E174" s="89" t="str">
        <f t="shared" si="5"/>
        <v>UBER* TRIP SYDN</v>
      </c>
      <c r="F174" s="28">
        <v>10.82</v>
      </c>
      <c r="G174" s="28"/>
      <c r="H174" s="23"/>
    </row>
    <row r="175" spans="1:8" ht="13.5" thickBot="1" x14ac:dyDescent="0.25">
      <c r="A175" s="22" t="str">
        <f t="shared" si="4"/>
        <v>Grigg</v>
      </c>
      <c r="B175" s="23">
        <v>8338</v>
      </c>
      <c r="C175" s="27">
        <v>45870</v>
      </c>
      <c r="D175" t="s">
        <v>204</v>
      </c>
      <c r="E175" s="89" t="str">
        <f t="shared" si="5"/>
        <v xml:space="preserve">ALH VENUES     </v>
      </c>
      <c r="F175" s="21">
        <v>33</v>
      </c>
      <c r="H175" s="23"/>
    </row>
    <row r="176" spans="1:8" ht="13.5" thickBot="1" x14ac:dyDescent="0.25">
      <c r="A176" s="22" t="str">
        <f t="shared" si="4"/>
        <v>Grigg</v>
      </c>
      <c r="B176" s="23">
        <v>8338</v>
      </c>
      <c r="C176" s="27">
        <v>45870</v>
      </c>
      <c r="D176" t="s">
        <v>190</v>
      </c>
      <c r="E176" s="89" t="str">
        <f t="shared" si="5"/>
        <v>Live Payments B</v>
      </c>
      <c r="F176" s="21">
        <v>27.93</v>
      </c>
      <c r="H176" s="23"/>
    </row>
    <row r="177" spans="1:8" ht="13.5" thickBot="1" x14ac:dyDescent="0.25">
      <c r="A177" s="22" t="str">
        <f t="shared" si="4"/>
        <v>Grigg</v>
      </c>
      <c r="B177" s="23">
        <v>8338</v>
      </c>
      <c r="C177" s="27">
        <v>45870</v>
      </c>
      <c r="D177" t="s">
        <v>205</v>
      </c>
      <c r="E177" s="89" t="str">
        <f t="shared" si="5"/>
        <v>PERTH SOCCER CL</v>
      </c>
      <c r="F177" s="21">
        <v>42</v>
      </c>
      <c r="H177" s="23"/>
    </row>
    <row r="178" spans="1:8" ht="13.5" thickBot="1" x14ac:dyDescent="0.25">
      <c r="A178" s="22" t="str">
        <f t="shared" si="4"/>
        <v>Grigg</v>
      </c>
      <c r="B178" s="23">
        <v>8338</v>
      </c>
      <c r="C178" s="27">
        <v>45870</v>
      </c>
      <c r="D178" t="s">
        <v>207</v>
      </c>
      <c r="E178" s="89" t="str">
        <f t="shared" si="5"/>
        <v>JAZZLAB BRUNSWI</v>
      </c>
      <c r="F178" s="21">
        <v>313</v>
      </c>
      <c r="H178" s="23"/>
    </row>
    <row r="179" spans="1:8" ht="13.5" thickBot="1" x14ac:dyDescent="0.25">
      <c r="A179" s="22" t="str">
        <f t="shared" si="4"/>
        <v>Grigg</v>
      </c>
      <c r="B179" s="23">
        <v>8338</v>
      </c>
      <c r="C179" s="27">
        <v>45870</v>
      </c>
      <c r="D179" t="s">
        <v>205</v>
      </c>
      <c r="E179" s="89" t="str">
        <f t="shared" si="5"/>
        <v>PERTH SOCCER CL</v>
      </c>
      <c r="F179" s="21">
        <v>12</v>
      </c>
      <c r="H179" s="23"/>
    </row>
    <row r="180" spans="1:8" ht="13.5" thickBot="1" x14ac:dyDescent="0.25">
      <c r="A180" s="22" t="str">
        <f t="shared" si="4"/>
        <v>Grigg</v>
      </c>
      <c r="B180" s="23">
        <v>8338</v>
      </c>
      <c r="C180" s="27">
        <v>45870</v>
      </c>
      <c r="D180" t="s">
        <v>205</v>
      </c>
      <c r="E180" s="89" t="str">
        <f t="shared" si="5"/>
        <v>PERTH SOCCER CL</v>
      </c>
      <c r="F180" s="21">
        <v>60</v>
      </c>
      <c r="H180" s="23"/>
    </row>
    <row r="181" spans="1:8" ht="13.5" thickBot="1" x14ac:dyDescent="0.25">
      <c r="A181" s="22" t="str">
        <f t="shared" si="4"/>
        <v>Grigg</v>
      </c>
      <c r="B181" s="23">
        <v>8338</v>
      </c>
      <c r="C181" s="27">
        <v>45870</v>
      </c>
      <c r="D181" t="s">
        <v>208</v>
      </c>
      <c r="E181" s="89" t="str">
        <f t="shared" si="5"/>
        <v>WHSMITH MELBOUR</v>
      </c>
      <c r="F181" s="21">
        <v>10.09</v>
      </c>
      <c r="H181" s="23"/>
    </row>
    <row r="182" spans="1:8" ht="13.5" thickBot="1" x14ac:dyDescent="0.25">
      <c r="A182" s="22" t="str">
        <f t="shared" si="4"/>
        <v>Grigg</v>
      </c>
      <c r="B182" s="23">
        <v>8338</v>
      </c>
      <c r="C182" s="27">
        <v>45870</v>
      </c>
      <c r="D182" s="23" t="s">
        <v>210</v>
      </c>
      <c r="E182" s="89" t="str">
        <f t="shared" si="5"/>
        <v>SPOTTO WA DARLI</v>
      </c>
      <c r="F182" s="28">
        <v>67.73</v>
      </c>
      <c r="G182" s="28"/>
      <c r="H182" s="23"/>
    </row>
    <row r="183" spans="1:8" ht="13.5" thickBot="1" x14ac:dyDescent="0.25">
      <c r="A183" s="22" t="str">
        <f t="shared" si="4"/>
        <v>Grigg</v>
      </c>
      <c r="B183" s="23">
        <v>8338</v>
      </c>
      <c r="C183" s="27">
        <v>45869</v>
      </c>
      <c r="D183" s="23" t="s">
        <v>211</v>
      </c>
      <c r="E183" s="89" t="str">
        <f t="shared" si="5"/>
        <v>UBER   *TRIP Sy</v>
      </c>
      <c r="F183" s="28">
        <v>19.350000000000001</v>
      </c>
      <c r="G183" s="28"/>
      <c r="H183" s="23"/>
    </row>
    <row r="184" spans="1:8" ht="13.5" thickBot="1" x14ac:dyDescent="0.25">
      <c r="A184" s="22" t="str">
        <f t="shared" si="4"/>
        <v>Grigg</v>
      </c>
      <c r="B184" s="23">
        <v>8338</v>
      </c>
      <c r="C184" s="27">
        <v>45869</v>
      </c>
      <c r="D184" s="23" t="s">
        <v>42</v>
      </c>
      <c r="E184" s="89" t="str">
        <f t="shared" si="5"/>
        <v>UBER *TRIP HELP</v>
      </c>
      <c r="F184" s="28">
        <v>16.29</v>
      </c>
      <c r="G184" s="28"/>
      <c r="H184" s="23"/>
    </row>
    <row r="185" spans="1:8" ht="13.5" thickBot="1" x14ac:dyDescent="0.25">
      <c r="A185" s="22" t="str">
        <f t="shared" si="4"/>
        <v>Grigg</v>
      </c>
      <c r="B185" s="23">
        <v>8338</v>
      </c>
      <c r="C185" s="27">
        <v>45865</v>
      </c>
      <c r="D185" s="23" t="s">
        <v>42</v>
      </c>
      <c r="E185" s="89" t="str">
        <f t="shared" si="5"/>
        <v>UBER *TRIP HELP</v>
      </c>
      <c r="F185" s="28">
        <v>191.33</v>
      </c>
      <c r="G185" s="28"/>
      <c r="H185" s="23"/>
    </row>
    <row r="186" spans="1:8" ht="13.5" thickBot="1" x14ac:dyDescent="0.25">
      <c r="A186" s="22" t="str">
        <f t="shared" si="4"/>
        <v>Grigg</v>
      </c>
      <c r="B186" s="23">
        <v>8338</v>
      </c>
      <c r="C186" s="27">
        <v>45865</v>
      </c>
      <c r="D186" s="23" t="s">
        <v>160</v>
      </c>
      <c r="E186" s="89" t="str">
        <f t="shared" si="5"/>
        <v>Airport Shuttle</v>
      </c>
      <c r="F186" s="28">
        <v>49</v>
      </c>
      <c r="G186" s="28"/>
    </row>
    <row r="187" spans="1:8" ht="13.5" thickBot="1" x14ac:dyDescent="0.25">
      <c r="A187" s="22" t="str">
        <f t="shared" si="4"/>
        <v>Grigg</v>
      </c>
      <c r="B187" s="23">
        <v>8338</v>
      </c>
      <c r="C187" s="27">
        <v>45861</v>
      </c>
      <c r="D187" s="23" t="s">
        <v>214</v>
      </c>
      <c r="E187" s="89" t="str">
        <f t="shared" si="5"/>
        <v>IPY*Jetstar Ent</v>
      </c>
      <c r="F187" s="28">
        <v>7</v>
      </c>
      <c r="G187" s="28"/>
    </row>
    <row r="188" spans="1:8" ht="13.5" thickBot="1" x14ac:dyDescent="0.25">
      <c r="A188" s="22" t="str">
        <f t="shared" si="4"/>
        <v>Grigg</v>
      </c>
      <c r="B188" s="23">
        <v>8338</v>
      </c>
      <c r="C188" s="27">
        <v>45860</v>
      </c>
      <c r="D188" s="23" t="s">
        <v>211</v>
      </c>
      <c r="E188" s="89" t="str">
        <f t="shared" si="5"/>
        <v>UBER   *TRIP Sy</v>
      </c>
      <c r="F188" s="28">
        <v>13.52</v>
      </c>
      <c r="G188" s="28"/>
    </row>
    <row r="189" spans="1:8" ht="13.5" thickBot="1" x14ac:dyDescent="0.25">
      <c r="A189" s="22" t="str">
        <f t="shared" si="4"/>
        <v>Grigg</v>
      </c>
      <c r="B189" s="23">
        <v>8338</v>
      </c>
      <c r="C189" s="27">
        <v>45860</v>
      </c>
      <c r="D189" s="23" t="s">
        <v>216</v>
      </c>
      <c r="E189" s="89" t="str">
        <f t="shared" si="5"/>
        <v>The Victoria Ho</v>
      </c>
      <c r="F189" s="28">
        <v>8.1199999999999992</v>
      </c>
      <c r="G189" s="28"/>
    </row>
    <row r="190" spans="1:8" ht="13.5" thickBot="1" x14ac:dyDescent="0.25">
      <c r="A190" s="22" t="str">
        <f t="shared" si="4"/>
        <v>Grigg</v>
      </c>
      <c r="B190" s="23">
        <v>8338</v>
      </c>
      <c r="C190" s="27">
        <v>45860</v>
      </c>
      <c r="D190" s="23" t="s">
        <v>216</v>
      </c>
      <c r="E190" s="89" t="str">
        <f t="shared" si="5"/>
        <v>The Victoria Ho</v>
      </c>
      <c r="F190" s="28">
        <v>16.239999999999998</v>
      </c>
      <c r="G190" s="28"/>
    </row>
    <row r="191" spans="1:8" ht="13.5" thickBot="1" x14ac:dyDescent="0.25">
      <c r="A191" s="22" t="str">
        <f t="shared" si="4"/>
        <v>Grigg</v>
      </c>
      <c r="B191" s="23">
        <v>8338</v>
      </c>
      <c r="C191" s="27">
        <v>45860</v>
      </c>
      <c r="D191" t="s">
        <v>218</v>
      </c>
      <c r="E191" s="89" t="str">
        <f t="shared" si="5"/>
        <v>BALLARAT TAXI 1</v>
      </c>
      <c r="F191" s="21">
        <v>18.010000000000002</v>
      </c>
    </row>
    <row r="192" spans="1:8" ht="13.5" thickBot="1" x14ac:dyDescent="0.25">
      <c r="A192" s="22" t="str">
        <f t="shared" si="4"/>
        <v>Grigg</v>
      </c>
      <c r="B192" s="23">
        <v>8338</v>
      </c>
      <c r="C192" s="27">
        <v>45857</v>
      </c>
      <c r="D192" s="23" t="s">
        <v>42</v>
      </c>
      <c r="E192" s="89" t="str">
        <f t="shared" si="5"/>
        <v>UBER *TRIP HELP</v>
      </c>
      <c r="F192" s="28">
        <v>11.39</v>
      </c>
      <c r="G192" s="28"/>
    </row>
    <row r="193" spans="1:7" ht="13.5" thickBot="1" x14ac:dyDescent="0.25">
      <c r="A193" s="22" t="str">
        <f t="shared" si="4"/>
        <v>Jenkins</v>
      </c>
      <c r="B193" s="23">
        <v>9020</v>
      </c>
      <c r="C193" s="27">
        <v>45884</v>
      </c>
      <c r="D193" s="23" t="s">
        <v>220</v>
      </c>
      <c r="E193" s="89" t="str">
        <f t="shared" si="5"/>
        <v>CASH ADVANCE FE</v>
      </c>
      <c r="F193" s="28">
        <v>6</v>
      </c>
      <c r="G193" s="28"/>
    </row>
    <row r="194" spans="1:7" ht="13.5" thickBot="1" x14ac:dyDescent="0.25">
      <c r="A194" s="22" t="str">
        <f t="shared" ref="A194:A257" si="6">VLOOKUP(B194,$K$2:$L$29,2,FALSE)</f>
        <v>Jenkins</v>
      </c>
      <c r="B194" s="23">
        <v>9020</v>
      </c>
      <c r="C194" s="27">
        <v>45884</v>
      </c>
      <c r="D194" s="23" t="s">
        <v>222</v>
      </c>
      <c r="E194" s="89" t="str">
        <f t="shared" ref="E194:E257" si="7">LEFT(D194,15)</f>
        <v>ATM WDRL FEE BA</v>
      </c>
      <c r="F194" s="28">
        <v>3.2</v>
      </c>
      <c r="G194" s="28"/>
    </row>
    <row r="195" spans="1:7" ht="13.5" thickBot="1" x14ac:dyDescent="0.25">
      <c r="A195" s="22" t="str">
        <f t="shared" si="6"/>
        <v>Jenkins</v>
      </c>
      <c r="B195" s="23">
        <v>9020</v>
      </c>
      <c r="C195" s="27">
        <v>45884</v>
      </c>
      <c r="D195" s="23" t="s">
        <v>223</v>
      </c>
      <c r="E195" s="89" t="str">
        <f t="shared" si="7"/>
        <v>CASH ADVANCE BA</v>
      </c>
      <c r="F195" s="28">
        <v>200</v>
      </c>
      <c r="G195" s="28"/>
    </row>
    <row r="196" spans="1:7" ht="13.5" thickBot="1" x14ac:dyDescent="0.25">
      <c r="A196" s="22" t="str">
        <f t="shared" si="6"/>
        <v>Jenkins</v>
      </c>
      <c r="B196" s="23">
        <v>9020</v>
      </c>
      <c r="C196" s="27">
        <v>45882</v>
      </c>
      <c r="D196" t="s">
        <v>174</v>
      </c>
      <c r="E196" s="89" t="str">
        <f t="shared" si="7"/>
        <v xml:space="preserve">APCO ALFREDTON </v>
      </c>
      <c r="F196" s="21">
        <v>102.52</v>
      </c>
    </row>
    <row r="197" spans="1:7" ht="13.5" thickBot="1" x14ac:dyDescent="0.25">
      <c r="A197" s="22" t="str">
        <f t="shared" si="6"/>
        <v>Jenkins</v>
      </c>
      <c r="B197" s="23">
        <v>9020</v>
      </c>
      <c r="C197" s="27">
        <v>45881</v>
      </c>
      <c r="D197" t="s">
        <v>226</v>
      </c>
      <c r="E197" s="89" t="str">
        <f t="shared" si="7"/>
        <v xml:space="preserve">RSEA PTY. LTD. </v>
      </c>
      <c r="F197" s="21">
        <v>170.97</v>
      </c>
    </row>
    <row r="198" spans="1:7" ht="13.5" thickBot="1" x14ac:dyDescent="0.25">
      <c r="A198" s="22" t="str">
        <f t="shared" si="6"/>
        <v>Jenkins</v>
      </c>
      <c r="B198" s="23">
        <v>9020</v>
      </c>
      <c r="C198" s="27">
        <v>45881</v>
      </c>
      <c r="D198" s="23" t="s">
        <v>229</v>
      </c>
      <c r="E198" s="89" t="str">
        <f t="shared" si="7"/>
        <v>N. KIMPTON PTY.</v>
      </c>
      <c r="F198" s="28">
        <v>99</v>
      </c>
      <c r="G198" s="28"/>
    </row>
    <row r="199" spans="1:7" ht="13.5" thickBot="1" x14ac:dyDescent="0.25">
      <c r="A199" s="22" t="str">
        <f t="shared" si="6"/>
        <v>Jenkins</v>
      </c>
      <c r="B199" s="23">
        <v>9020</v>
      </c>
      <c r="C199" s="27">
        <v>45880</v>
      </c>
      <c r="D199" s="23" t="s">
        <v>160</v>
      </c>
      <c r="E199" s="89" t="str">
        <f t="shared" si="7"/>
        <v>Airport Shuttle</v>
      </c>
      <c r="F199" s="28">
        <v>49</v>
      </c>
      <c r="G199" s="28"/>
    </row>
    <row r="200" spans="1:7" ht="13.5" thickBot="1" x14ac:dyDescent="0.25">
      <c r="A200" s="22" t="str">
        <f t="shared" si="6"/>
        <v>Jenkins</v>
      </c>
      <c r="B200" s="23">
        <v>9020</v>
      </c>
      <c r="C200" s="27">
        <v>45880</v>
      </c>
      <c r="D200" s="23" t="s">
        <v>79</v>
      </c>
      <c r="E200" s="89" t="str">
        <f t="shared" si="7"/>
        <v>TOTAL TOOLS BAL</v>
      </c>
      <c r="F200" s="28">
        <v>96.8</v>
      </c>
      <c r="G200" s="28"/>
    </row>
    <row r="201" spans="1:7" ht="13.5" thickBot="1" x14ac:dyDescent="0.25">
      <c r="A201" s="22" t="str">
        <f t="shared" si="6"/>
        <v>Jenkins</v>
      </c>
      <c r="B201" s="22">
        <v>9020</v>
      </c>
      <c r="C201" s="27">
        <v>45873</v>
      </c>
      <c r="D201" t="s">
        <v>235</v>
      </c>
      <c r="E201" s="89" t="str">
        <f t="shared" si="7"/>
        <v>APCO SKIPTON ST</v>
      </c>
      <c r="F201" s="21">
        <v>128.03</v>
      </c>
    </row>
    <row r="202" spans="1:7" ht="13.5" thickBot="1" x14ac:dyDescent="0.25">
      <c r="A202" s="22" t="str">
        <f t="shared" si="6"/>
        <v>Jenkins</v>
      </c>
      <c r="B202" s="22">
        <v>9020</v>
      </c>
      <c r="C202" s="27">
        <v>45873</v>
      </c>
      <c r="D202" t="s">
        <v>39</v>
      </c>
      <c r="E202" s="89" t="str">
        <f t="shared" si="7"/>
        <v>OFFICEWORKS 036</v>
      </c>
      <c r="F202" s="21">
        <v>55</v>
      </c>
    </row>
    <row r="203" spans="1:7" ht="13.5" thickBot="1" x14ac:dyDescent="0.25">
      <c r="A203" s="22" t="str">
        <f t="shared" si="6"/>
        <v>Jenkins</v>
      </c>
      <c r="B203" s="23">
        <v>9020</v>
      </c>
      <c r="C203" s="27">
        <v>45864</v>
      </c>
      <c r="D203" s="23" t="s">
        <v>31</v>
      </c>
      <c r="E203" s="89" t="str">
        <f t="shared" si="7"/>
        <v>BUNNINGS 329000</v>
      </c>
      <c r="F203" s="28">
        <v>116.95</v>
      </c>
      <c r="G203" s="28"/>
    </row>
    <row r="204" spans="1:7" ht="13.5" thickBot="1" x14ac:dyDescent="0.25">
      <c r="A204" s="22" t="str">
        <f t="shared" si="6"/>
        <v>Jenkins</v>
      </c>
      <c r="B204" s="22">
        <v>9020</v>
      </c>
      <c r="C204" s="27">
        <v>45860</v>
      </c>
      <c r="D204" t="s">
        <v>229</v>
      </c>
      <c r="E204" s="89" t="str">
        <f t="shared" si="7"/>
        <v>N. KIMPTON PTY.</v>
      </c>
      <c r="F204" s="21">
        <v>218</v>
      </c>
    </row>
    <row r="205" spans="1:7" ht="13.5" thickBot="1" x14ac:dyDescent="0.25">
      <c r="A205" s="22" t="str">
        <f t="shared" si="6"/>
        <v>Jenkins</v>
      </c>
      <c r="B205" s="22">
        <v>9020</v>
      </c>
      <c r="C205" s="27">
        <v>45860</v>
      </c>
      <c r="D205" t="s">
        <v>238</v>
      </c>
      <c r="E205" s="89" t="str">
        <f t="shared" si="7"/>
        <v>Ballarat Medica</v>
      </c>
      <c r="F205" s="21">
        <v>436.7</v>
      </c>
    </row>
    <row r="206" spans="1:7" ht="13.5" thickBot="1" x14ac:dyDescent="0.25">
      <c r="A206" s="22" t="str">
        <f t="shared" si="6"/>
        <v>Lanyon</v>
      </c>
      <c r="B206" s="23">
        <v>3035</v>
      </c>
      <c r="C206" s="27">
        <v>45874</v>
      </c>
      <c r="D206" t="s">
        <v>39</v>
      </c>
      <c r="E206" s="89" t="str">
        <f t="shared" si="7"/>
        <v>OFFICEWORKS 036</v>
      </c>
      <c r="F206" s="21">
        <v>27.46</v>
      </c>
    </row>
    <row r="207" spans="1:7" ht="13.5" thickBot="1" x14ac:dyDescent="0.25">
      <c r="A207" s="22" t="str">
        <f t="shared" si="6"/>
        <v>Lanyon</v>
      </c>
      <c r="B207" s="23">
        <v>3035</v>
      </c>
      <c r="C207" s="27">
        <v>45863</v>
      </c>
      <c r="D207" t="s">
        <v>42</v>
      </c>
      <c r="E207" s="89" t="str">
        <f t="shared" si="7"/>
        <v>UBER *TRIP HELP</v>
      </c>
      <c r="F207" s="21">
        <v>11.21</v>
      </c>
    </row>
    <row r="208" spans="1:7" ht="13.5" thickBot="1" x14ac:dyDescent="0.25">
      <c r="A208" s="22" t="str">
        <f t="shared" si="6"/>
        <v>Lanyon</v>
      </c>
      <c r="B208" s="23">
        <v>3035</v>
      </c>
      <c r="C208" s="27">
        <v>45862</v>
      </c>
      <c r="D208" t="s">
        <v>240</v>
      </c>
      <c r="E208" s="89" t="str">
        <f t="shared" si="7"/>
        <v>CALTEX CLUDEN C</v>
      </c>
      <c r="F208" s="21">
        <v>44.74</v>
      </c>
    </row>
    <row r="209" spans="1:7" ht="13.5" thickBot="1" x14ac:dyDescent="0.25">
      <c r="A209" s="22" t="str">
        <f t="shared" si="6"/>
        <v>Lanyon</v>
      </c>
      <c r="B209" s="23">
        <v>3035</v>
      </c>
      <c r="C209" s="27">
        <v>45862</v>
      </c>
      <c r="D209" t="s">
        <v>241</v>
      </c>
      <c r="E209" s="89" t="str">
        <f t="shared" si="7"/>
        <v>HANNAS - MELB A</v>
      </c>
      <c r="F209" s="21">
        <v>20.74</v>
      </c>
    </row>
    <row r="210" spans="1:7" ht="13.5" thickBot="1" x14ac:dyDescent="0.25">
      <c r="A210" s="22" t="str">
        <f t="shared" si="6"/>
        <v>Lanyon</v>
      </c>
      <c r="B210" s="23">
        <v>3035</v>
      </c>
      <c r="C210" s="27">
        <v>45860</v>
      </c>
      <c r="D210" t="s">
        <v>242</v>
      </c>
      <c r="E210" s="89" t="str">
        <f t="shared" si="7"/>
        <v xml:space="preserve">WOOLWORTHS     </v>
      </c>
      <c r="F210" s="21">
        <v>23.4</v>
      </c>
    </row>
    <row r="211" spans="1:7" ht="13.5" thickBot="1" x14ac:dyDescent="0.25">
      <c r="A211" s="22" t="str">
        <f t="shared" si="6"/>
        <v>Lanyon</v>
      </c>
      <c r="B211" s="23">
        <v>3035</v>
      </c>
      <c r="C211" s="27">
        <v>45859</v>
      </c>
      <c r="D211" t="s">
        <v>243</v>
      </c>
      <c r="E211" s="89" t="str">
        <f t="shared" si="7"/>
        <v>SOVEREIGN TAVER</v>
      </c>
      <c r="F211" s="21">
        <v>46.8</v>
      </c>
    </row>
    <row r="212" spans="1:7" ht="13.5" thickBot="1" x14ac:dyDescent="0.25">
      <c r="A212" s="22" t="str">
        <f t="shared" si="6"/>
        <v>Lanyon</v>
      </c>
      <c r="B212" s="23">
        <v>3035</v>
      </c>
      <c r="C212" s="27">
        <v>45859</v>
      </c>
      <c r="D212" t="s">
        <v>243</v>
      </c>
      <c r="E212" s="89" t="str">
        <f t="shared" si="7"/>
        <v>SOVEREIGN TAVER</v>
      </c>
      <c r="F212" s="21">
        <v>14.9</v>
      </c>
    </row>
    <row r="213" spans="1:7" ht="13.5" thickBot="1" x14ac:dyDescent="0.25">
      <c r="A213" s="22" t="str">
        <f t="shared" si="6"/>
        <v>Lanyon</v>
      </c>
      <c r="B213" s="23">
        <v>3035</v>
      </c>
      <c r="C213" s="27">
        <v>45858</v>
      </c>
      <c r="D213" t="s">
        <v>244</v>
      </c>
      <c r="E213" s="89" t="str">
        <f t="shared" si="7"/>
        <v>C-TOWERS PTY LT</v>
      </c>
      <c r="F213" s="21">
        <v>22.74</v>
      </c>
    </row>
    <row r="214" spans="1:7" ht="13.5" thickBot="1" x14ac:dyDescent="0.25">
      <c r="A214" s="22" t="str">
        <f t="shared" si="6"/>
        <v>Lanyon</v>
      </c>
      <c r="B214" s="23">
        <v>3035</v>
      </c>
      <c r="C214" s="27">
        <v>45858</v>
      </c>
      <c r="D214" t="s">
        <v>245</v>
      </c>
      <c r="E214" s="89" t="str">
        <f t="shared" si="7"/>
        <v>Star Charters I</v>
      </c>
      <c r="F214" s="21">
        <v>29</v>
      </c>
    </row>
    <row r="215" spans="1:7" ht="13.5" thickBot="1" x14ac:dyDescent="0.25">
      <c r="A215" s="22" t="str">
        <f t="shared" si="6"/>
        <v>Lanyon</v>
      </c>
      <c r="B215" s="23">
        <v>3035</v>
      </c>
      <c r="C215" s="27">
        <v>45857</v>
      </c>
      <c r="D215" t="s">
        <v>246</v>
      </c>
      <c r="E215" s="89" t="str">
        <f t="shared" si="7"/>
        <v>RED ROOSTER CHA</v>
      </c>
      <c r="F215" s="21">
        <v>17.5</v>
      </c>
    </row>
    <row r="216" spans="1:7" ht="13.5" thickBot="1" x14ac:dyDescent="0.25">
      <c r="A216" s="22" t="str">
        <f t="shared" si="6"/>
        <v>Lanyon</v>
      </c>
      <c r="B216" s="23">
        <v>3035</v>
      </c>
      <c r="C216" s="27">
        <v>45856</v>
      </c>
      <c r="D216" t="s">
        <v>247</v>
      </c>
      <c r="E216" s="89" t="str">
        <f t="shared" si="7"/>
        <v>MCDONALDS FAIRF</v>
      </c>
      <c r="F216" s="21">
        <v>18.3</v>
      </c>
    </row>
    <row r="217" spans="1:7" ht="13.5" thickBot="1" x14ac:dyDescent="0.25">
      <c r="A217" s="22" t="str">
        <f t="shared" si="6"/>
        <v>Lanyon</v>
      </c>
      <c r="B217" s="23">
        <v>3035</v>
      </c>
      <c r="C217" s="27">
        <v>45856</v>
      </c>
      <c r="D217" t="s">
        <v>248</v>
      </c>
      <c r="E217" s="89" t="str">
        <f t="shared" si="7"/>
        <v xml:space="preserve">DELAWARE NORTH </v>
      </c>
      <c r="F217" s="21">
        <v>23</v>
      </c>
    </row>
    <row r="218" spans="1:7" ht="13.5" thickBot="1" x14ac:dyDescent="0.25">
      <c r="A218" s="22" t="str">
        <f t="shared" si="6"/>
        <v>Lanyon</v>
      </c>
      <c r="B218" s="23">
        <v>3035</v>
      </c>
      <c r="C218" s="27">
        <v>45856</v>
      </c>
      <c r="D218" t="s">
        <v>242</v>
      </c>
      <c r="E218" s="89" t="str">
        <f t="shared" si="7"/>
        <v xml:space="preserve">WOOLWORTHS     </v>
      </c>
      <c r="F218" s="21">
        <v>32.64</v>
      </c>
    </row>
    <row r="219" spans="1:7" ht="13.5" thickBot="1" x14ac:dyDescent="0.25">
      <c r="A219" s="22" t="str">
        <f t="shared" si="6"/>
        <v>Lanyon</v>
      </c>
      <c r="B219" s="23">
        <v>3035</v>
      </c>
      <c r="C219" s="27">
        <v>45856</v>
      </c>
      <c r="D219" t="s">
        <v>42</v>
      </c>
      <c r="E219" s="89" t="str">
        <f t="shared" si="7"/>
        <v>UBER *TRIP HELP</v>
      </c>
      <c r="F219" s="21">
        <v>10.82</v>
      </c>
    </row>
    <row r="220" spans="1:7" ht="13.5" thickBot="1" x14ac:dyDescent="0.25">
      <c r="A220" s="22" t="str">
        <f t="shared" si="6"/>
        <v>Lanyon</v>
      </c>
      <c r="B220" s="23">
        <v>3035</v>
      </c>
      <c r="C220" s="27">
        <v>45856</v>
      </c>
      <c r="D220" t="s">
        <v>249</v>
      </c>
      <c r="E220" s="89" t="str">
        <f t="shared" si="7"/>
        <v>StarLiquor Town</v>
      </c>
      <c r="F220" s="21">
        <v>29</v>
      </c>
    </row>
    <row r="221" spans="1:7" ht="13.5" thickBot="1" x14ac:dyDescent="0.25">
      <c r="A221" s="22" t="str">
        <f t="shared" si="6"/>
        <v>Lanyon</v>
      </c>
      <c r="B221" s="23">
        <v>3035</v>
      </c>
      <c r="C221" s="27">
        <v>45855</v>
      </c>
      <c r="D221" t="s">
        <v>160</v>
      </c>
      <c r="E221" s="89" t="str">
        <f t="shared" si="7"/>
        <v>Airport Shuttle</v>
      </c>
      <c r="F221" s="21">
        <v>90</v>
      </c>
    </row>
    <row r="222" spans="1:7" ht="13.5" thickBot="1" x14ac:dyDescent="0.25">
      <c r="A222" s="22" t="str">
        <f t="shared" si="6"/>
        <v>Lewis Gray E</v>
      </c>
      <c r="B222" s="23">
        <v>3599</v>
      </c>
      <c r="C222" s="24">
        <v>45861</v>
      </c>
      <c r="D222" s="23" t="s">
        <v>251</v>
      </c>
      <c r="E222" s="89" t="str">
        <f t="shared" si="7"/>
        <v>FLOWERSGILB 036</v>
      </c>
      <c r="F222" s="28">
        <v>175</v>
      </c>
      <c r="G222" s="28"/>
    </row>
    <row r="223" spans="1:7" ht="13.5" thickBot="1" x14ac:dyDescent="0.25">
      <c r="A223" s="22" t="str">
        <f t="shared" si="6"/>
        <v>Lewis Gray E</v>
      </c>
      <c r="B223" s="23">
        <v>3599</v>
      </c>
      <c r="C223" s="24">
        <v>45859</v>
      </c>
      <c r="D223" s="23" t="s">
        <v>253</v>
      </c>
      <c r="E223" s="89" t="str">
        <f t="shared" si="7"/>
        <v xml:space="preserve">AVIS AUSTRALIA </v>
      </c>
      <c r="F223" s="28">
        <v>78.42</v>
      </c>
      <c r="G223" s="28"/>
    </row>
    <row r="224" spans="1:7" ht="13.5" thickBot="1" x14ac:dyDescent="0.25">
      <c r="A224" s="22" t="str">
        <f t="shared" si="6"/>
        <v>Lewis Gray S</v>
      </c>
      <c r="B224" s="23">
        <v>1929</v>
      </c>
      <c r="C224" s="24">
        <v>45877</v>
      </c>
      <c r="D224" s="23" t="s">
        <v>257</v>
      </c>
      <c r="E224" s="89" t="str">
        <f t="shared" si="7"/>
        <v>BUDGET RENT A C</v>
      </c>
      <c r="F224" s="28">
        <v>295.95999999999998</v>
      </c>
      <c r="G224" s="28"/>
    </row>
    <row r="225" spans="1:7" ht="13.5" thickBot="1" x14ac:dyDescent="0.25">
      <c r="A225" s="22" t="str">
        <f t="shared" si="6"/>
        <v>Lewis Gray S</v>
      </c>
      <c r="B225" s="23">
        <v>1929</v>
      </c>
      <c r="C225" s="24">
        <v>45877</v>
      </c>
      <c r="D225" s="23" t="s">
        <v>258</v>
      </c>
      <c r="E225" s="89" t="str">
        <f t="shared" si="7"/>
        <v>QT PERTH OPI Pe</v>
      </c>
      <c r="F225" s="28">
        <v>28.42</v>
      </c>
      <c r="G225" s="28"/>
    </row>
    <row r="226" spans="1:7" ht="13.5" thickBot="1" x14ac:dyDescent="0.25">
      <c r="A226" s="22" t="str">
        <f t="shared" si="6"/>
        <v>Lewis Gray S</v>
      </c>
      <c r="B226" s="23">
        <v>1929</v>
      </c>
      <c r="C226" s="24">
        <v>45877</v>
      </c>
      <c r="D226" s="23" t="s">
        <v>258</v>
      </c>
      <c r="E226" s="89" t="str">
        <f t="shared" si="7"/>
        <v>QT PERTH OPI Pe</v>
      </c>
      <c r="F226" s="28">
        <v>156.82</v>
      </c>
      <c r="G226" s="28"/>
    </row>
    <row r="227" spans="1:7" ht="13.5" thickBot="1" x14ac:dyDescent="0.25">
      <c r="A227" s="22" t="str">
        <f t="shared" si="6"/>
        <v>Lewis Gray S</v>
      </c>
      <c r="B227" s="23">
        <v>1929</v>
      </c>
      <c r="C227" s="24">
        <v>45877</v>
      </c>
      <c r="D227" s="23" t="s">
        <v>259</v>
      </c>
      <c r="E227" s="89" t="str">
        <f t="shared" si="7"/>
        <v>7 ELEVEN 3045 A</v>
      </c>
      <c r="F227" s="28">
        <v>78.88</v>
      </c>
      <c r="G227" s="28"/>
    </row>
    <row r="228" spans="1:7" ht="13.5" thickBot="1" x14ac:dyDescent="0.25">
      <c r="A228" s="22" t="str">
        <f t="shared" si="6"/>
        <v>Lewis Gray S</v>
      </c>
      <c r="B228" s="22">
        <v>1929</v>
      </c>
      <c r="C228" s="27">
        <v>45877</v>
      </c>
      <c r="D228" t="s">
        <v>260</v>
      </c>
      <c r="E228" s="89" t="str">
        <f t="shared" si="7"/>
        <v>QANTAS VALET Fi</v>
      </c>
      <c r="F228" s="21">
        <v>312</v>
      </c>
    </row>
    <row r="229" spans="1:7" ht="13.5" thickBot="1" x14ac:dyDescent="0.25">
      <c r="A229" s="22" t="str">
        <f t="shared" si="6"/>
        <v>Lewis Gray S</v>
      </c>
      <c r="B229" s="22">
        <v>1929</v>
      </c>
      <c r="C229" s="27">
        <v>45875</v>
      </c>
      <c r="D229" t="s">
        <v>261</v>
      </c>
      <c r="E229" s="89" t="str">
        <f t="shared" si="7"/>
        <v>QANTAS081237430</v>
      </c>
      <c r="F229" s="21">
        <v>455.07</v>
      </c>
    </row>
    <row r="230" spans="1:7" ht="13.5" thickBot="1" x14ac:dyDescent="0.25">
      <c r="A230" s="22" t="str">
        <f t="shared" si="6"/>
        <v>Lewis Gray S</v>
      </c>
      <c r="B230" s="22">
        <v>1929</v>
      </c>
      <c r="C230" s="27">
        <v>45875</v>
      </c>
      <c r="D230" t="s">
        <v>262</v>
      </c>
      <c r="E230" s="89" t="str">
        <f t="shared" si="7"/>
        <v>MARY STREET BAK</v>
      </c>
      <c r="F230" s="21">
        <v>41.49</v>
      </c>
    </row>
    <row r="231" spans="1:7" ht="13.5" thickBot="1" x14ac:dyDescent="0.25">
      <c r="A231" s="22" t="str">
        <f t="shared" si="6"/>
        <v>Lewis Gray S</v>
      </c>
      <c r="B231" s="22">
        <v>1929</v>
      </c>
      <c r="C231" s="27">
        <v>45875</v>
      </c>
      <c r="D231" t="s">
        <v>139</v>
      </c>
      <c r="E231" s="89" t="str">
        <f t="shared" si="7"/>
        <v xml:space="preserve">SWAN TAXIS PTY </v>
      </c>
      <c r="F231" s="21">
        <v>22.79</v>
      </c>
    </row>
    <row r="232" spans="1:7" ht="13.5" thickBot="1" x14ac:dyDescent="0.25">
      <c r="A232" s="22" t="str">
        <f t="shared" si="6"/>
        <v>Lewis Gray S</v>
      </c>
      <c r="B232" s="23">
        <v>1929</v>
      </c>
      <c r="C232" s="24">
        <v>45875</v>
      </c>
      <c r="D232" s="23" t="s">
        <v>263</v>
      </c>
      <c r="E232" s="89" t="str">
        <f t="shared" si="7"/>
        <v>Hotel at Bookin</v>
      </c>
      <c r="F232" s="28">
        <v>165</v>
      </c>
      <c r="G232" s="28"/>
    </row>
    <row r="233" spans="1:7" ht="13.5" thickBot="1" x14ac:dyDescent="0.25">
      <c r="A233" s="22" t="str">
        <f t="shared" si="6"/>
        <v>Lewis Gray S</v>
      </c>
      <c r="B233" s="23">
        <v>1929</v>
      </c>
      <c r="C233" s="24">
        <v>45868</v>
      </c>
      <c r="D233" s="23" t="s">
        <v>264</v>
      </c>
      <c r="E233" s="89" t="str">
        <f t="shared" si="7"/>
        <v>QANTAS081HQA3H4</v>
      </c>
      <c r="F233" s="28">
        <v>885</v>
      </c>
      <c r="G233" s="28"/>
    </row>
    <row r="234" spans="1:7" ht="13.5" thickBot="1" x14ac:dyDescent="0.25">
      <c r="A234" s="22" t="str">
        <f t="shared" si="6"/>
        <v>Lewis Gray S</v>
      </c>
      <c r="B234" s="23">
        <v>1929</v>
      </c>
      <c r="C234" s="24">
        <v>45867</v>
      </c>
      <c r="D234" s="23" t="s">
        <v>265</v>
      </c>
      <c r="E234" s="89" t="str">
        <f t="shared" si="7"/>
        <v>QANTAS081237386</v>
      </c>
      <c r="F234" s="28">
        <v>144.19999999999999</v>
      </c>
      <c r="G234" s="28"/>
    </row>
    <row r="235" spans="1:7" ht="13.5" thickBot="1" x14ac:dyDescent="0.25">
      <c r="A235" s="22" t="str">
        <f t="shared" si="6"/>
        <v>Lewis Gray S</v>
      </c>
      <c r="B235" s="22">
        <v>1929</v>
      </c>
      <c r="C235" s="27">
        <v>45866</v>
      </c>
      <c r="D235" t="s">
        <v>266</v>
      </c>
      <c r="E235" s="89" t="str">
        <f t="shared" si="7"/>
        <v>BUDGET RENT A C</v>
      </c>
      <c r="F235" s="21">
        <v>44.75</v>
      </c>
    </row>
    <row r="236" spans="1:7" ht="13.5" thickBot="1" x14ac:dyDescent="0.25">
      <c r="A236" s="22" t="str">
        <f t="shared" si="6"/>
        <v>Lewis Gray S</v>
      </c>
      <c r="B236" s="23">
        <v>1929</v>
      </c>
      <c r="C236" s="24">
        <v>45866</v>
      </c>
      <c r="D236" s="23" t="s">
        <v>267</v>
      </c>
      <c r="E236" s="89" t="str">
        <f t="shared" si="7"/>
        <v>QANTAS VALET PA</v>
      </c>
      <c r="F236" s="28">
        <v>171.68</v>
      </c>
      <c r="G236" s="28"/>
    </row>
    <row r="237" spans="1:7" ht="13.5" thickBot="1" x14ac:dyDescent="0.25">
      <c r="A237" s="22" t="str">
        <f t="shared" si="6"/>
        <v>Lewis Gray S</v>
      </c>
      <c r="B237" s="22">
        <v>1929</v>
      </c>
      <c r="C237" s="27">
        <v>45865</v>
      </c>
      <c r="D237" t="s">
        <v>268</v>
      </c>
      <c r="E237" s="89" t="str">
        <f t="shared" si="7"/>
        <v>BEACHFRONT VOYA</v>
      </c>
      <c r="F237" s="21">
        <v>5</v>
      </c>
    </row>
    <row r="238" spans="1:7" ht="13.5" thickBot="1" x14ac:dyDescent="0.25">
      <c r="A238" s="22" t="str">
        <f t="shared" si="6"/>
        <v>Lewis Gray S</v>
      </c>
      <c r="B238" s="23">
        <v>1929</v>
      </c>
      <c r="C238" s="24">
        <v>45862</v>
      </c>
      <c r="D238" s="23" t="s">
        <v>269</v>
      </c>
      <c r="E238" s="89" t="str">
        <f t="shared" si="7"/>
        <v>DSwiss AG Z ric</v>
      </c>
      <c r="F238" s="28">
        <v>93.49</v>
      </c>
      <c r="G238" s="28"/>
    </row>
    <row r="239" spans="1:7" ht="13.5" thickBot="1" x14ac:dyDescent="0.25">
      <c r="A239" s="22" t="str">
        <f t="shared" si="6"/>
        <v>Lewis Gray S</v>
      </c>
      <c r="B239" s="22">
        <v>1929</v>
      </c>
      <c r="C239" s="27">
        <v>45861</v>
      </c>
      <c r="D239" t="s">
        <v>270</v>
      </c>
      <c r="E239" s="89" t="str">
        <f t="shared" si="7"/>
        <v>SQ *LE PECHE GO</v>
      </c>
      <c r="F239" s="21">
        <v>112.55</v>
      </c>
    </row>
    <row r="240" spans="1:7" ht="13.5" thickBot="1" x14ac:dyDescent="0.25">
      <c r="A240" s="22" t="str">
        <f t="shared" si="6"/>
        <v>Lewis Gray S</v>
      </c>
      <c r="B240" s="22">
        <v>1929</v>
      </c>
      <c r="C240" s="27">
        <v>45860</v>
      </c>
      <c r="D240" t="s">
        <v>271</v>
      </c>
      <c r="E240" s="89" t="str">
        <f t="shared" si="7"/>
        <v>WEBJET MELBOURN</v>
      </c>
      <c r="F240" s="21">
        <v>923.9</v>
      </c>
    </row>
    <row r="241" spans="1:7" ht="13.5" thickBot="1" x14ac:dyDescent="0.25">
      <c r="A241" s="22" t="str">
        <f t="shared" si="6"/>
        <v>Lodge</v>
      </c>
      <c r="B241" s="22">
        <v>4138</v>
      </c>
      <c r="C241" s="27">
        <v>45860</v>
      </c>
      <c r="D241" t="s">
        <v>273</v>
      </c>
      <c r="E241" s="89" t="str">
        <f t="shared" si="7"/>
        <v>CBSA-ASFC OTTAW</v>
      </c>
      <c r="F241" s="21">
        <v>3472.3</v>
      </c>
    </row>
    <row r="242" spans="1:7" ht="13.5" thickBot="1" x14ac:dyDescent="0.25">
      <c r="A242" s="22" t="str">
        <f t="shared" si="6"/>
        <v>McLaughlin</v>
      </c>
      <c r="B242" s="23">
        <v>5337</v>
      </c>
      <c r="C242" s="27">
        <v>45882</v>
      </c>
      <c r="D242" s="23" t="s">
        <v>275</v>
      </c>
      <c r="E242" s="89" t="str">
        <f t="shared" si="7"/>
        <v>METRO PETROLEUM</v>
      </c>
      <c r="F242" s="28">
        <v>17.41</v>
      </c>
      <c r="G242" s="28"/>
    </row>
    <row r="243" spans="1:7" ht="13.5" thickBot="1" x14ac:dyDescent="0.25">
      <c r="A243" s="22" t="str">
        <f t="shared" si="6"/>
        <v>McLaughlin</v>
      </c>
      <c r="B243" s="22">
        <v>5337</v>
      </c>
      <c r="C243" s="27">
        <v>45881</v>
      </c>
      <c r="D243" t="s">
        <v>276</v>
      </c>
      <c r="E243" s="89" t="str">
        <f t="shared" si="7"/>
        <v>COLES 7798 BALL</v>
      </c>
      <c r="F243" s="21">
        <v>21.3</v>
      </c>
    </row>
    <row r="244" spans="1:7" ht="13.5" thickBot="1" x14ac:dyDescent="0.25">
      <c r="A244" s="22" t="str">
        <f t="shared" si="6"/>
        <v>McLaughlin</v>
      </c>
      <c r="B244" s="23">
        <v>5337</v>
      </c>
      <c r="C244" s="27">
        <v>45878</v>
      </c>
      <c r="D244" t="s">
        <v>275</v>
      </c>
      <c r="E244" s="89" t="str">
        <f t="shared" si="7"/>
        <v>METRO PETROLEUM</v>
      </c>
      <c r="F244" s="21">
        <v>60.4</v>
      </c>
    </row>
    <row r="245" spans="1:7" ht="13.5" thickBot="1" x14ac:dyDescent="0.25">
      <c r="A245" s="22" t="str">
        <f t="shared" si="6"/>
        <v>McLaughlin</v>
      </c>
      <c r="B245" s="23">
        <v>5337</v>
      </c>
      <c r="C245" s="27">
        <v>45876</v>
      </c>
      <c r="D245" t="s">
        <v>277</v>
      </c>
      <c r="E245" s="89" t="str">
        <f t="shared" si="7"/>
        <v>BUNNINGS 730000</v>
      </c>
      <c r="F245" s="21">
        <v>79.41</v>
      </c>
    </row>
    <row r="246" spans="1:7" ht="13.5" thickBot="1" x14ac:dyDescent="0.25">
      <c r="A246" s="22" t="str">
        <f t="shared" si="6"/>
        <v>McLaughlin</v>
      </c>
      <c r="B246" s="23">
        <v>5337</v>
      </c>
      <c r="C246" s="27">
        <v>45870</v>
      </c>
      <c r="D246" t="s">
        <v>93</v>
      </c>
      <c r="E246" s="89" t="str">
        <f t="shared" si="7"/>
        <v>Ballarat Materi</v>
      </c>
      <c r="F246" s="21">
        <v>85.18</v>
      </c>
    </row>
    <row r="247" spans="1:7" ht="13.5" thickBot="1" x14ac:dyDescent="0.25">
      <c r="A247" s="22" t="str">
        <f t="shared" si="6"/>
        <v>McLaughlin</v>
      </c>
      <c r="B247" s="23">
        <v>5337</v>
      </c>
      <c r="C247" s="27">
        <v>45867</v>
      </c>
      <c r="D247" t="s">
        <v>275</v>
      </c>
      <c r="E247" s="89" t="str">
        <f t="shared" si="7"/>
        <v>METRO PETROLEUM</v>
      </c>
      <c r="F247" s="21">
        <v>15.65</v>
      </c>
    </row>
    <row r="248" spans="1:7" ht="13.5" thickBot="1" x14ac:dyDescent="0.25">
      <c r="A248" s="22" t="str">
        <f t="shared" si="6"/>
        <v>McLaughlin</v>
      </c>
      <c r="B248" s="23">
        <v>5337</v>
      </c>
      <c r="C248" s="27">
        <v>45862</v>
      </c>
      <c r="D248" t="s">
        <v>278</v>
      </c>
      <c r="E248" s="89" t="str">
        <f t="shared" si="7"/>
        <v>FIFTEEN NEEDLES</v>
      </c>
      <c r="F248" s="21">
        <v>52</v>
      </c>
    </row>
    <row r="249" spans="1:7" ht="13.5" thickBot="1" x14ac:dyDescent="0.25">
      <c r="A249" s="22" t="str">
        <f t="shared" si="6"/>
        <v>McLaughlin</v>
      </c>
      <c r="B249" s="23">
        <v>5337</v>
      </c>
      <c r="C249" s="27">
        <v>45862</v>
      </c>
      <c r="D249" t="s">
        <v>277</v>
      </c>
      <c r="E249" s="89" t="str">
        <f t="shared" si="7"/>
        <v>BUNNINGS 730000</v>
      </c>
      <c r="F249" s="21">
        <v>9</v>
      </c>
    </row>
    <row r="250" spans="1:7" ht="13.5" thickBot="1" x14ac:dyDescent="0.25">
      <c r="A250" s="22" t="str">
        <f t="shared" si="6"/>
        <v>McLaughlin</v>
      </c>
      <c r="B250" s="23">
        <v>5337</v>
      </c>
      <c r="C250" s="27">
        <v>45861</v>
      </c>
      <c r="D250" t="s">
        <v>127</v>
      </c>
      <c r="E250" s="89" t="str">
        <f t="shared" si="7"/>
        <v xml:space="preserve">WOOLWORTHS     </v>
      </c>
      <c r="F250" s="21">
        <v>27.6</v>
      </c>
    </row>
    <row r="251" spans="1:7" ht="13.5" thickBot="1" x14ac:dyDescent="0.25">
      <c r="A251" s="22" t="str">
        <f t="shared" si="6"/>
        <v>McLaughlin</v>
      </c>
      <c r="B251" s="23">
        <v>5337</v>
      </c>
      <c r="C251" s="27">
        <v>45854</v>
      </c>
      <c r="D251" t="s">
        <v>279</v>
      </c>
      <c r="E251" s="89" t="str">
        <f t="shared" si="7"/>
        <v>APCO MAIN RD BA</v>
      </c>
      <c r="F251" s="21">
        <v>60.01</v>
      </c>
    </row>
    <row r="252" spans="1:7" ht="13.5" thickBot="1" x14ac:dyDescent="0.25">
      <c r="A252" s="22" t="str">
        <f t="shared" si="6"/>
        <v>Ntombela</v>
      </c>
      <c r="B252" s="22">
        <v>5635</v>
      </c>
      <c r="C252" s="27">
        <v>45876</v>
      </c>
      <c r="D252" t="s">
        <v>146</v>
      </c>
      <c r="E252" s="89" t="str">
        <f t="shared" si="7"/>
        <v>MYKI BALLARAT R</v>
      </c>
      <c r="F252" s="21">
        <v>20</v>
      </c>
    </row>
    <row r="253" spans="1:7" ht="13.5" thickBot="1" x14ac:dyDescent="0.25">
      <c r="A253" s="22" t="str">
        <f t="shared" si="6"/>
        <v>Ntombela</v>
      </c>
      <c r="B253" s="23">
        <v>5635</v>
      </c>
      <c r="C253" s="27">
        <v>45868</v>
      </c>
      <c r="D253" t="s">
        <v>281</v>
      </c>
      <c r="E253" s="89" t="str">
        <f t="shared" si="7"/>
        <v>AusIMM 61396586</v>
      </c>
      <c r="F253" s="28">
        <v>550</v>
      </c>
      <c r="G253" s="28"/>
    </row>
    <row r="254" spans="1:7" ht="13.5" thickBot="1" x14ac:dyDescent="0.25">
      <c r="A254" s="22" t="str">
        <f t="shared" si="6"/>
        <v>Predergast</v>
      </c>
      <c r="B254" s="23">
        <v>9664</v>
      </c>
      <c r="C254" s="27">
        <v>45867</v>
      </c>
      <c r="D254" t="s">
        <v>283</v>
      </c>
      <c r="E254" s="89" t="str">
        <f t="shared" si="7"/>
        <v>WWW.ALIEXPRESS.</v>
      </c>
      <c r="F254" s="21">
        <v>15.88</v>
      </c>
    </row>
    <row r="255" spans="1:7" ht="13.5" thickBot="1" x14ac:dyDescent="0.25">
      <c r="A255" s="22" t="str">
        <f t="shared" si="6"/>
        <v>Predergast</v>
      </c>
      <c r="B255" s="23">
        <v>9664</v>
      </c>
      <c r="C255" s="27">
        <v>45856</v>
      </c>
      <c r="D255" t="s">
        <v>284</v>
      </c>
      <c r="E255" s="89" t="str">
        <f t="shared" si="7"/>
        <v>aliexpress Nort</v>
      </c>
      <c r="F255" s="21">
        <v>16.91</v>
      </c>
    </row>
    <row r="256" spans="1:7" ht="13.5" thickBot="1" x14ac:dyDescent="0.25">
      <c r="A256" s="22" t="str">
        <f t="shared" si="6"/>
        <v>Rouhan</v>
      </c>
      <c r="B256" s="23">
        <v>6087</v>
      </c>
      <c r="C256" s="27">
        <v>45882</v>
      </c>
      <c r="D256" t="s">
        <v>37</v>
      </c>
      <c r="E256" s="89" t="str">
        <f t="shared" si="7"/>
        <v xml:space="preserve">WOOLWORTHS     </v>
      </c>
      <c r="F256" s="21">
        <v>72.2</v>
      </c>
    </row>
    <row r="257" spans="1:6" ht="13.5" thickBot="1" x14ac:dyDescent="0.25">
      <c r="A257" s="22" t="str">
        <f t="shared" si="6"/>
        <v>Rouhan</v>
      </c>
      <c r="B257" s="23">
        <v>6087</v>
      </c>
      <c r="C257" s="27">
        <v>45881</v>
      </c>
      <c r="D257" t="s">
        <v>319</v>
      </c>
      <c r="E257" s="89" t="str">
        <f t="shared" si="7"/>
        <v>HTTPS://SCRIBE.</v>
      </c>
      <c r="F257" s="21">
        <v>399.88</v>
      </c>
    </row>
    <row r="258" spans="1:6" ht="13.5" thickBot="1" x14ac:dyDescent="0.25">
      <c r="A258" s="22" t="str">
        <f t="shared" ref="A258:A307" si="8">VLOOKUP(B258,$K$2:$L$29,2,FALSE)</f>
        <v>Rouhan</v>
      </c>
      <c r="B258" s="23">
        <v>6087</v>
      </c>
      <c r="C258" s="27">
        <v>45881</v>
      </c>
      <c r="D258" t="s">
        <v>321</v>
      </c>
      <c r="E258" s="89" t="str">
        <f t="shared" ref="E258:E308" si="9">LEFT(D258,15)</f>
        <v xml:space="preserve">POST LUCAS LPO </v>
      </c>
      <c r="F258" s="21">
        <v>11.15</v>
      </c>
    </row>
    <row r="259" spans="1:6" ht="13.5" thickBot="1" x14ac:dyDescent="0.25">
      <c r="A259" s="22" t="str">
        <f t="shared" si="8"/>
        <v>Rouhan</v>
      </c>
      <c r="B259" s="23">
        <v>6087</v>
      </c>
      <c r="C259" s="27">
        <v>45880</v>
      </c>
      <c r="D259" t="s">
        <v>324</v>
      </c>
      <c r="E259" s="89" t="str">
        <f t="shared" si="9"/>
        <v>BALLARATS SANCT</v>
      </c>
      <c r="F259" s="21">
        <v>202.2</v>
      </c>
    </row>
    <row r="260" spans="1:6" ht="13.5" thickBot="1" x14ac:dyDescent="0.25">
      <c r="A260" s="22" t="str">
        <f t="shared" si="8"/>
        <v>Rouhan</v>
      </c>
      <c r="B260" s="23">
        <v>6087</v>
      </c>
      <c r="C260" s="27">
        <v>45880</v>
      </c>
      <c r="D260" t="s">
        <v>326</v>
      </c>
      <c r="E260" s="89" t="str">
        <f t="shared" si="9"/>
        <v>Golden Nugget B</v>
      </c>
      <c r="F260" s="21">
        <v>212.68</v>
      </c>
    </row>
    <row r="261" spans="1:6" ht="13.5" thickBot="1" x14ac:dyDescent="0.25">
      <c r="A261" s="22" t="str">
        <f t="shared" si="8"/>
        <v>Rouhan</v>
      </c>
      <c r="B261" s="23">
        <v>6087</v>
      </c>
      <c r="C261" s="27">
        <v>45875</v>
      </c>
      <c r="D261" t="s">
        <v>328</v>
      </c>
      <c r="E261" s="89" t="str">
        <f t="shared" si="9"/>
        <v>SMP*Major Roast</v>
      </c>
      <c r="F261" s="21">
        <v>663.77</v>
      </c>
    </row>
    <row r="262" spans="1:6" ht="13.5" thickBot="1" x14ac:dyDescent="0.25">
      <c r="A262" s="22" t="str">
        <f t="shared" si="8"/>
        <v>Rouhan</v>
      </c>
      <c r="B262" s="23">
        <v>6087</v>
      </c>
      <c r="C262" s="27">
        <v>45875</v>
      </c>
      <c r="D262" t="s">
        <v>37</v>
      </c>
      <c r="E262" s="89" t="str">
        <f t="shared" si="9"/>
        <v xml:space="preserve">WOOLWORTHS     </v>
      </c>
      <c r="F262" s="21">
        <v>209.21</v>
      </c>
    </row>
    <row r="263" spans="1:6" ht="13.5" thickBot="1" x14ac:dyDescent="0.25">
      <c r="A263" s="22" t="str">
        <f t="shared" si="8"/>
        <v>Rouhan</v>
      </c>
      <c r="B263" s="23">
        <v>6087</v>
      </c>
      <c r="C263" s="27">
        <v>45875</v>
      </c>
      <c r="D263" t="s">
        <v>331</v>
      </c>
      <c r="E263" s="89" t="str">
        <f t="shared" si="9"/>
        <v xml:space="preserve">Bakers Delight </v>
      </c>
      <c r="F263" s="21">
        <v>62.8</v>
      </c>
    </row>
    <row r="264" spans="1:6" ht="13.5" thickBot="1" x14ac:dyDescent="0.25">
      <c r="A264" s="22" t="str">
        <f t="shared" si="8"/>
        <v>Rouhan</v>
      </c>
      <c r="B264" s="23">
        <v>6087</v>
      </c>
      <c r="C264" s="27">
        <v>45872</v>
      </c>
      <c r="D264" t="s">
        <v>144</v>
      </c>
      <c r="E264" s="89" t="str">
        <f t="shared" si="9"/>
        <v>Subway Wendoure</v>
      </c>
      <c r="F264" s="21">
        <v>219.9</v>
      </c>
    </row>
    <row r="265" spans="1:6" ht="13.5" thickBot="1" x14ac:dyDescent="0.25">
      <c r="A265" s="22" t="str">
        <f t="shared" si="8"/>
        <v>Rouhan</v>
      </c>
      <c r="B265" s="23">
        <v>6087</v>
      </c>
      <c r="C265" s="27">
        <v>45872</v>
      </c>
      <c r="D265" t="s">
        <v>333</v>
      </c>
      <c r="E265" s="89" t="str">
        <f t="shared" si="9"/>
        <v xml:space="preserve">EG GROUP       </v>
      </c>
      <c r="F265" s="21">
        <v>7.5</v>
      </c>
    </row>
    <row r="266" spans="1:6" ht="13.5" thickBot="1" x14ac:dyDescent="0.25">
      <c r="A266" s="22" t="str">
        <f t="shared" si="8"/>
        <v>Rouhan</v>
      </c>
      <c r="B266" s="23">
        <v>6087</v>
      </c>
      <c r="C266" s="27">
        <v>45870</v>
      </c>
      <c r="D266" t="s">
        <v>321</v>
      </c>
      <c r="E266" s="89" t="str">
        <f t="shared" si="9"/>
        <v xml:space="preserve">POST LUCAS LPO </v>
      </c>
      <c r="F266" s="21">
        <v>4.7</v>
      </c>
    </row>
    <row r="267" spans="1:6" ht="13.5" thickBot="1" x14ac:dyDescent="0.25">
      <c r="A267" s="22" t="str">
        <f t="shared" si="8"/>
        <v>Rouhan</v>
      </c>
      <c r="B267" s="23">
        <v>6087</v>
      </c>
      <c r="C267" s="27">
        <v>45868</v>
      </c>
      <c r="D267" t="s">
        <v>335</v>
      </c>
      <c r="E267" s="89" t="str">
        <f t="shared" si="9"/>
        <v>BABY BUNTING WE</v>
      </c>
      <c r="F267" s="21">
        <v>400</v>
      </c>
    </row>
    <row r="268" spans="1:6" ht="13.5" thickBot="1" x14ac:dyDescent="0.25">
      <c r="A268" s="22" t="str">
        <f t="shared" si="8"/>
        <v>Rouhan</v>
      </c>
      <c r="B268" s="23">
        <v>6087</v>
      </c>
      <c r="C268" s="27">
        <v>45868</v>
      </c>
      <c r="D268" t="s">
        <v>337</v>
      </c>
      <c r="E268" s="89" t="str">
        <f t="shared" si="9"/>
        <v>Nextra Wendoure</v>
      </c>
      <c r="F268" s="21">
        <v>23.19</v>
      </c>
    </row>
    <row r="269" spans="1:6" ht="13.5" thickBot="1" x14ac:dyDescent="0.25">
      <c r="A269" s="22" t="str">
        <f t="shared" si="8"/>
        <v>Rouhan</v>
      </c>
      <c r="B269" s="23">
        <v>6087</v>
      </c>
      <c r="C269" s="27">
        <v>45868</v>
      </c>
      <c r="D269" t="s">
        <v>326</v>
      </c>
      <c r="E269" s="89" t="str">
        <f t="shared" si="9"/>
        <v>Golden Nugget B</v>
      </c>
      <c r="F269" s="21">
        <v>807.79</v>
      </c>
    </row>
    <row r="270" spans="1:6" ht="13.5" thickBot="1" x14ac:dyDescent="0.25">
      <c r="A270" s="22" t="str">
        <f t="shared" si="8"/>
        <v>Rouhan</v>
      </c>
      <c r="B270" s="23">
        <v>6087</v>
      </c>
      <c r="C270" s="27">
        <v>45867</v>
      </c>
      <c r="D270" t="s">
        <v>340</v>
      </c>
      <c r="E270" s="89" t="str">
        <f t="shared" si="9"/>
        <v>Woolworths Onli</v>
      </c>
      <c r="F270" s="21">
        <v>226.1</v>
      </c>
    </row>
    <row r="271" spans="1:6" ht="13.5" thickBot="1" x14ac:dyDescent="0.25">
      <c r="A271" s="22" t="str">
        <f t="shared" si="8"/>
        <v>Rouhan</v>
      </c>
      <c r="B271" s="23">
        <v>6087</v>
      </c>
      <c r="C271" s="27">
        <v>45863</v>
      </c>
      <c r="D271" t="s">
        <v>341</v>
      </c>
      <c r="E271" s="89" t="str">
        <f t="shared" si="9"/>
        <v>ALDI STORES WEN</v>
      </c>
      <c r="F271" s="21">
        <v>11.74</v>
      </c>
    </row>
    <row r="272" spans="1:6" ht="13.5" thickBot="1" x14ac:dyDescent="0.25">
      <c r="A272" s="22" t="str">
        <f t="shared" si="8"/>
        <v>Rouhan</v>
      </c>
      <c r="B272" s="23">
        <v>6087</v>
      </c>
      <c r="C272" s="27">
        <v>45862</v>
      </c>
      <c r="D272" t="s">
        <v>342</v>
      </c>
      <c r="E272" s="89" t="str">
        <f t="shared" si="9"/>
        <v xml:space="preserve">DAN MURPHY'S   </v>
      </c>
      <c r="F272" s="21">
        <v>307.93</v>
      </c>
    </row>
    <row r="273" spans="1:7" ht="13.5" thickBot="1" x14ac:dyDescent="0.25">
      <c r="A273" s="22" t="str">
        <f t="shared" si="8"/>
        <v>Torney</v>
      </c>
      <c r="B273" s="23">
        <v>7833</v>
      </c>
      <c r="C273" s="27">
        <v>45880</v>
      </c>
      <c r="D273" s="23" t="s">
        <v>286</v>
      </c>
      <c r="E273" s="89" t="str">
        <f t="shared" si="9"/>
        <v>SPRINGFIELDS TA</v>
      </c>
      <c r="F273" s="28">
        <v>135</v>
      </c>
      <c r="G273" s="28"/>
    </row>
    <row r="274" spans="1:7" ht="13.5" thickBot="1" x14ac:dyDescent="0.25">
      <c r="A274" s="22" t="str">
        <f t="shared" si="8"/>
        <v>Torney</v>
      </c>
      <c r="B274" s="23">
        <v>7833</v>
      </c>
      <c r="C274" s="27">
        <v>45876</v>
      </c>
      <c r="D274" s="23" t="s">
        <v>79</v>
      </c>
      <c r="E274" s="89" t="str">
        <f t="shared" si="9"/>
        <v>TOTAL TOOLS BAL</v>
      </c>
      <c r="F274" s="28">
        <v>483.3</v>
      </c>
      <c r="G274" s="28"/>
    </row>
    <row r="275" spans="1:7" ht="13.5" thickBot="1" x14ac:dyDescent="0.25">
      <c r="A275" s="22" t="str">
        <f t="shared" si="8"/>
        <v>Trenorden</v>
      </c>
      <c r="B275" s="23">
        <v>5241</v>
      </c>
      <c r="C275" s="24">
        <v>45876</v>
      </c>
      <c r="D275" s="23" t="s">
        <v>345</v>
      </c>
      <c r="E275" s="89" t="str">
        <f t="shared" si="9"/>
        <v>CONSUMER AFFAIR</v>
      </c>
      <c r="F275" s="28">
        <v>627.29999999999995</v>
      </c>
      <c r="G275" s="28"/>
    </row>
    <row r="276" spans="1:7" ht="13.5" thickBot="1" x14ac:dyDescent="0.25">
      <c r="A276" s="22" t="str">
        <f t="shared" si="8"/>
        <v>Trenorden</v>
      </c>
      <c r="B276" s="23">
        <v>5241</v>
      </c>
      <c r="C276" s="24">
        <v>45874</v>
      </c>
      <c r="D276" s="23" t="s">
        <v>347</v>
      </c>
      <c r="E276" s="89" t="str">
        <f t="shared" si="9"/>
        <v>FUTURE ENERGY S</v>
      </c>
      <c r="F276" s="28">
        <v>256</v>
      </c>
      <c r="G276" s="28"/>
    </row>
    <row r="277" spans="1:7" ht="13.5" thickBot="1" x14ac:dyDescent="0.25">
      <c r="A277" s="22" t="str">
        <f t="shared" si="8"/>
        <v>Trenorden</v>
      </c>
      <c r="B277" s="22">
        <v>5241</v>
      </c>
      <c r="C277" s="27">
        <v>45860</v>
      </c>
      <c r="D277" t="s">
        <v>347</v>
      </c>
      <c r="E277" s="89" t="str">
        <f t="shared" si="9"/>
        <v>FUTURE ENERGY S</v>
      </c>
      <c r="F277" s="21">
        <v>256</v>
      </c>
    </row>
    <row r="278" spans="1:7" ht="13.5" thickBot="1" x14ac:dyDescent="0.25">
      <c r="A278" s="22" t="str">
        <f t="shared" si="8"/>
        <v>Tuncks</v>
      </c>
      <c r="B278" s="23">
        <v>1431</v>
      </c>
      <c r="C278" s="27">
        <v>45881</v>
      </c>
      <c r="D278" s="23" t="s">
        <v>288</v>
      </c>
      <c r="E278" s="89" t="str">
        <f t="shared" si="9"/>
        <v>PAYPAL *CLOUDFL</v>
      </c>
      <c r="F278" s="28">
        <v>82.49</v>
      </c>
      <c r="G278" s="28"/>
    </row>
    <row r="279" spans="1:7" ht="13.5" thickBot="1" x14ac:dyDescent="0.25">
      <c r="A279" s="22" t="str">
        <f t="shared" si="8"/>
        <v>Tuncks</v>
      </c>
      <c r="B279" s="22">
        <v>1431</v>
      </c>
      <c r="C279" s="27">
        <v>45881</v>
      </c>
      <c r="D279" t="s">
        <v>291</v>
      </c>
      <c r="E279" s="89" t="str">
        <f t="shared" si="9"/>
        <v>INTRUDER.IO PRO</v>
      </c>
      <c r="F279" s="21">
        <v>419.16</v>
      </c>
    </row>
    <row r="280" spans="1:7" ht="13.5" thickBot="1" x14ac:dyDescent="0.25">
      <c r="A280" s="22" t="str">
        <f t="shared" si="8"/>
        <v>Tuncks</v>
      </c>
      <c r="B280" s="22">
        <v>1431</v>
      </c>
      <c r="C280" s="27">
        <v>45879</v>
      </c>
      <c r="D280" t="s">
        <v>293</v>
      </c>
      <c r="E280" s="89" t="str">
        <f t="shared" si="9"/>
        <v xml:space="preserve">ONESIMCARD.COM </v>
      </c>
      <c r="F280" s="21">
        <v>164.82</v>
      </c>
    </row>
    <row r="281" spans="1:7" ht="13.5" thickBot="1" x14ac:dyDescent="0.25">
      <c r="A281" s="22" t="str">
        <f t="shared" si="8"/>
        <v>Tuncks</v>
      </c>
      <c r="B281" s="23">
        <v>1431</v>
      </c>
      <c r="C281" s="27">
        <v>45879</v>
      </c>
      <c r="D281" s="23" t="s">
        <v>296</v>
      </c>
      <c r="E281" s="89" t="str">
        <f t="shared" si="9"/>
        <v>DATACHANT HIGHL</v>
      </c>
      <c r="F281" s="28">
        <v>158.63</v>
      </c>
      <c r="G281" s="28"/>
    </row>
    <row r="282" spans="1:7" ht="13.5" thickBot="1" x14ac:dyDescent="0.25">
      <c r="A282" s="22" t="str">
        <f t="shared" si="8"/>
        <v>Tuncks</v>
      </c>
      <c r="B282" s="23">
        <v>1431</v>
      </c>
      <c r="C282" s="27">
        <v>45879</v>
      </c>
      <c r="D282" s="23" t="s">
        <v>298</v>
      </c>
      <c r="E282" s="89" t="str">
        <f t="shared" si="9"/>
        <v>AMAZON AU MARKE</v>
      </c>
      <c r="F282" s="28">
        <v>246.97</v>
      </c>
      <c r="G282" s="28"/>
    </row>
    <row r="283" spans="1:7" ht="13.5" thickBot="1" x14ac:dyDescent="0.25">
      <c r="A283" s="22" t="str">
        <f t="shared" si="8"/>
        <v>Tuncks</v>
      </c>
      <c r="B283" s="23">
        <v>1431</v>
      </c>
      <c r="C283" s="27">
        <v>45873</v>
      </c>
      <c r="D283" s="23" t="s">
        <v>300</v>
      </c>
      <c r="E283" s="89" t="str">
        <f t="shared" si="9"/>
        <v xml:space="preserve">ONESIMCARD.COM </v>
      </c>
      <c r="F283" s="28">
        <v>331.42</v>
      </c>
      <c r="G283" s="28"/>
    </row>
    <row r="284" spans="1:7" ht="13.5" thickBot="1" x14ac:dyDescent="0.25">
      <c r="A284" s="22" t="str">
        <f t="shared" si="8"/>
        <v>Tuncks</v>
      </c>
      <c r="B284" s="23">
        <v>1431</v>
      </c>
      <c r="C284" s="27">
        <v>45869</v>
      </c>
      <c r="D284" s="23" t="s">
        <v>301</v>
      </c>
      <c r="E284" s="89" t="str">
        <f t="shared" si="9"/>
        <v>TAILSCALE US IN</v>
      </c>
      <c r="F284" s="28">
        <v>19.23</v>
      </c>
      <c r="G284" s="28"/>
    </row>
    <row r="285" spans="1:7" ht="13.5" thickBot="1" x14ac:dyDescent="0.25">
      <c r="A285" s="22" t="str">
        <f t="shared" si="8"/>
        <v>Tuncks</v>
      </c>
      <c r="B285" s="22">
        <v>1431</v>
      </c>
      <c r="C285" s="27">
        <v>45865</v>
      </c>
      <c r="D285" t="s">
        <v>303</v>
      </c>
      <c r="E285" s="89" t="str">
        <f t="shared" si="9"/>
        <v>SMTP2GO, I* SMT</v>
      </c>
      <c r="F285" s="21">
        <v>23.58</v>
      </c>
    </row>
    <row r="286" spans="1:7" ht="13.5" thickBot="1" x14ac:dyDescent="0.25">
      <c r="A286" s="22" t="str">
        <f t="shared" si="8"/>
        <v>Tuncks</v>
      </c>
      <c r="B286" s="22">
        <v>1431</v>
      </c>
      <c r="C286" s="27">
        <v>45865</v>
      </c>
      <c r="D286" t="s">
        <v>305</v>
      </c>
      <c r="E286" s="89" t="str">
        <f t="shared" si="9"/>
        <v>MSFT * E0400WRO</v>
      </c>
      <c r="F286" s="21">
        <v>46.2</v>
      </c>
    </row>
    <row r="287" spans="1:7" ht="13.5" thickBot="1" x14ac:dyDescent="0.25">
      <c r="A287" s="22" t="str">
        <f t="shared" si="8"/>
        <v>Tuncks</v>
      </c>
      <c r="B287" s="22">
        <v>1431</v>
      </c>
      <c r="C287" s="27">
        <v>45865</v>
      </c>
      <c r="D287" t="s">
        <v>307</v>
      </c>
      <c r="E287" s="89" t="str">
        <f t="shared" si="9"/>
        <v>MSFT+*+E0400WRQ</v>
      </c>
      <c r="F287" s="21">
        <v>14.85</v>
      </c>
    </row>
    <row r="288" spans="1:7" ht="13.5" thickBot="1" x14ac:dyDescent="0.25">
      <c r="A288" s="22" t="str">
        <f t="shared" si="8"/>
        <v>Tuncks</v>
      </c>
      <c r="B288" s="22">
        <v>1431</v>
      </c>
      <c r="C288" s="27">
        <v>45865</v>
      </c>
      <c r="D288" t="s">
        <v>308</v>
      </c>
      <c r="E288" s="89" t="str">
        <f t="shared" si="9"/>
        <v>MSFT * E0400WRT</v>
      </c>
      <c r="F288" s="21">
        <v>506.66</v>
      </c>
    </row>
    <row r="289" spans="1:7" ht="13.5" thickBot="1" x14ac:dyDescent="0.25">
      <c r="A289" s="22" t="str">
        <f t="shared" si="8"/>
        <v>Tuncks</v>
      </c>
      <c r="B289" s="22">
        <v>1431</v>
      </c>
      <c r="C289" s="27">
        <v>45865</v>
      </c>
      <c r="D289" t="s">
        <v>309</v>
      </c>
      <c r="E289" s="89" t="str">
        <f t="shared" si="9"/>
        <v>MSFT * E0400WRQ</v>
      </c>
      <c r="F289" s="21">
        <v>13.2</v>
      </c>
    </row>
    <row r="290" spans="1:7" ht="13.5" thickBot="1" x14ac:dyDescent="0.25">
      <c r="A290" s="22" t="str">
        <f t="shared" si="8"/>
        <v>Tuncks</v>
      </c>
      <c r="B290" s="22">
        <v>1431</v>
      </c>
      <c r="C290" s="27">
        <v>45865</v>
      </c>
      <c r="D290" t="s">
        <v>310</v>
      </c>
      <c r="E290" s="89" t="str">
        <f t="shared" si="9"/>
        <v>MSFT * E0400WRQ</v>
      </c>
      <c r="F290" s="21">
        <v>29.7</v>
      </c>
    </row>
    <row r="291" spans="1:7" ht="13.5" thickBot="1" x14ac:dyDescent="0.25">
      <c r="A291" s="22" t="str">
        <f t="shared" si="8"/>
        <v>Tuncks</v>
      </c>
      <c r="B291" s="22">
        <v>1431</v>
      </c>
      <c r="C291" s="27">
        <v>45864</v>
      </c>
      <c r="D291" t="s">
        <v>311</v>
      </c>
      <c r="E291" s="89" t="str">
        <f t="shared" si="9"/>
        <v>PAYPAL *ADOBESY</v>
      </c>
      <c r="F291" s="21">
        <v>75.989999999999995</v>
      </c>
    </row>
    <row r="292" spans="1:7" ht="13.5" thickBot="1" x14ac:dyDescent="0.25">
      <c r="A292" s="22" t="str">
        <f t="shared" si="8"/>
        <v>Tuncks</v>
      </c>
      <c r="B292" s="23">
        <v>1431</v>
      </c>
      <c r="C292" s="27">
        <v>45860</v>
      </c>
      <c r="D292" s="23" t="s">
        <v>293</v>
      </c>
      <c r="E292" s="89" t="str">
        <f t="shared" si="9"/>
        <v xml:space="preserve">ONESIMCARD.COM </v>
      </c>
      <c r="F292" s="28">
        <v>164.59</v>
      </c>
      <c r="G292" s="28"/>
    </row>
    <row r="293" spans="1:7" ht="13.5" thickBot="1" x14ac:dyDescent="0.25">
      <c r="A293" s="22" t="str">
        <f t="shared" si="8"/>
        <v>Tuncks</v>
      </c>
      <c r="B293" s="22">
        <v>1431</v>
      </c>
      <c r="C293" s="27">
        <v>45860</v>
      </c>
      <c r="D293" t="s">
        <v>313</v>
      </c>
      <c r="E293" s="89" t="str">
        <f t="shared" si="9"/>
        <v>1PASSWORD TORON</v>
      </c>
      <c r="F293" s="21">
        <v>34.770000000000003</v>
      </c>
    </row>
    <row r="294" spans="1:7" ht="13.5" thickBot="1" x14ac:dyDescent="0.25">
      <c r="A294" s="22" t="str">
        <f t="shared" si="8"/>
        <v>Tuncks</v>
      </c>
      <c r="B294" s="22">
        <v>1431</v>
      </c>
      <c r="C294" s="27">
        <v>45857</v>
      </c>
      <c r="D294" t="s">
        <v>291</v>
      </c>
      <c r="E294" s="89" t="str">
        <f t="shared" si="9"/>
        <v>INTRUDER.IO PRO</v>
      </c>
      <c r="F294" s="21">
        <v>419.3</v>
      </c>
    </row>
    <row r="295" spans="1:7" ht="13.5" thickBot="1" x14ac:dyDescent="0.25">
      <c r="A295" s="22" t="str">
        <f t="shared" si="8"/>
        <v>Tuncks</v>
      </c>
      <c r="B295" s="23">
        <v>1431</v>
      </c>
      <c r="C295" s="27">
        <v>45855</v>
      </c>
      <c r="D295" s="23" t="s">
        <v>296</v>
      </c>
      <c r="E295" s="89" t="str">
        <f t="shared" si="9"/>
        <v>DATACHANT HIGHL</v>
      </c>
      <c r="F295" s="28">
        <v>158.63</v>
      </c>
      <c r="G295" s="28"/>
    </row>
    <row r="296" spans="1:7" ht="13.5" thickBot="1" x14ac:dyDescent="0.25">
      <c r="A296" s="22" t="str">
        <f t="shared" si="8"/>
        <v>Tuncks</v>
      </c>
      <c r="B296" s="23">
        <v>1431</v>
      </c>
      <c r="C296" s="27">
        <v>45854</v>
      </c>
      <c r="D296" s="23" t="s">
        <v>315</v>
      </c>
      <c r="E296" s="89" t="str">
        <f t="shared" si="9"/>
        <v>4CABLING* 4CABL</v>
      </c>
      <c r="F296" s="28">
        <v>435.72</v>
      </c>
      <c r="G296" s="28"/>
    </row>
    <row r="297" spans="1:7" ht="13.5" thickBot="1" x14ac:dyDescent="0.25">
      <c r="A297" s="22" t="str">
        <f t="shared" si="8"/>
        <v>VanKollenburg</v>
      </c>
      <c r="B297" s="23">
        <v>9991</v>
      </c>
      <c r="C297" s="27">
        <v>45881</v>
      </c>
      <c r="D297" t="s">
        <v>349</v>
      </c>
      <c r="E297" s="89" t="str">
        <f t="shared" si="9"/>
        <v>GB FASTENERS AL</v>
      </c>
      <c r="F297" s="21">
        <v>27.6</v>
      </c>
    </row>
    <row r="298" spans="1:7" ht="13.5" thickBot="1" x14ac:dyDescent="0.25">
      <c r="A298" s="22" t="str">
        <f t="shared" si="8"/>
        <v>VanKollenburg</v>
      </c>
      <c r="B298" s="23">
        <v>9991</v>
      </c>
      <c r="C298" s="27">
        <v>45868</v>
      </c>
      <c r="D298" t="s">
        <v>349</v>
      </c>
      <c r="E298" s="89" t="str">
        <f t="shared" si="9"/>
        <v>GB FASTENERS AL</v>
      </c>
      <c r="F298" s="21">
        <v>51.98</v>
      </c>
    </row>
    <row r="299" spans="1:7" ht="13.5" thickBot="1" x14ac:dyDescent="0.25">
      <c r="A299" s="22" t="str">
        <f t="shared" si="8"/>
        <v>VanKollenburg</v>
      </c>
      <c r="B299" s="23">
        <v>9991</v>
      </c>
      <c r="C299" s="27">
        <v>45856</v>
      </c>
      <c r="D299" t="s">
        <v>79</v>
      </c>
      <c r="E299" s="89" t="str">
        <f t="shared" si="9"/>
        <v>TOTAL TOOLS BAL</v>
      </c>
      <c r="F299" s="21">
        <v>119.45</v>
      </c>
    </row>
    <row r="300" spans="1:7" ht="13.5" thickBot="1" x14ac:dyDescent="0.25">
      <c r="A300" s="22" t="str">
        <f t="shared" si="8"/>
        <v>VanKollenburg</v>
      </c>
      <c r="B300" s="23">
        <v>9991</v>
      </c>
      <c r="C300" s="27">
        <v>45855</v>
      </c>
      <c r="D300" t="s">
        <v>354</v>
      </c>
      <c r="E300" s="89" t="str">
        <f t="shared" si="9"/>
        <v>POST BALLARAT W</v>
      </c>
      <c r="F300" s="21">
        <v>98.64</v>
      </c>
    </row>
    <row r="301" spans="1:7" ht="13.5" thickBot="1" x14ac:dyDescent="0.25">
      <c r="A301" s="22" t="str">
        <f t="shared" si="8"/>
        <v>VanKollenburg</v>
      </c>
      <c r="B301" s="23">
        <v>9991</v>
      </c>
      <c r="C301" s="27">
        <v>45855</v>
      </c>
      <c r="D301" t="s">
        <v>354</v>
      </c>
      <c r="E301" s="89" t="str">
        <f t="shared" si="9"/>
        <v>POST BALLARAT W</v>
      </c>
      <c r="F301" s="21">
        <v>98.64</v>
      </c>
    </row>
    <row r="302" spans="1:7" ht="13.5" thickBot="1" x14ac:dyDescent="0.25">
      <c r="A302" s="22" t="str">
        <f t="shared" si="8"/>
        <v>VanKollenburg</v>
      </c>
      <c r="B302" s="23">
        <v>9991</v>
      </c>
      <c r="C302" s="27">
        <v>45855</v>
      </c>
      <c r="D302" t="s">
        <v>356</v>
      </c>
      <c r="E302" s="89" t="str">
        <f t="shared" si="9"/>
        <v>CRED VOUCHER SP</v>
      </c>
      <c r="G302" s="21">
        <v>316</v>
      </c>
    </row>
    <row r="303" spans="1:7" ht="13.5" thickBot="1" x14ac:dyDescent="0.25">
      <c r="A303" s="22" t="str">
        <f t="shared" si="8"/>
        <v>VanKollenburg</v>
      </c>
      <c r="B303" s="23">
        <v>9991</v>
      </c>
      <c r="C303" s="27">
        <v>45854</v>
      </c>
      <c r="D303" t="s">
        <v>360</v>
      </c>
      <c r="E303" s="89" t="str">
        <f t="shared" si="9"/>
        <v>SPIRIT OF TASMA</v>
      </c>
      <c r="F303" s="21">
        <v>1227.47</v>
      </c>
    </row>
    <row r="304" spans="1:7" ht="13.5" thickBot="1" x14ac:dyDescent="0.25">
      <c r="A304" s="22" t="str">
        <f t="shared" si="8"/>
        <v>Zhang</v>
      </c>
      <c r="B304" s="23">
        <v>6594</v>
      </c>
      <c r="C304" s="27">
        <v>45883</v>
      </c>
      <c r="D304" t="s">
        <v>386</v>
      </c>
      <c r="E304" s="89" t="str">
        <f t="shared" si="9"/>
        <v>SQ *LILY DANG B</v>
      </c>
      <c r="F304" s="21">
        <v>37.4</v>
      </c>
    </row>
    <row r="305" spans="1:7" ht="13.5" thickBot="1" x14ac:dyDescent="0.25">
      <c r="A305" s="22" t="str">
        <f t="shared" si="8"/>
        <v>Zhang</v>
      </c>
      <c r="B305" s="23">
        <v>6594</v>
      </c>
      <c r="C305" s="27">
        <v>45879</v>
      </c>
      <c r="D305" t="s">
        <v>387</v>
      </c>
      <c r="E305" s="89" t="str">
        <f t="shared" si="9"/>
        <v>Watermark Masco</v>
      </c>
      <c r="F305" s="21">
        <v>18.71</v>
      </c>
    </row>
    <row r="306" spans="1:7" ht="13.5" thickBot="1" x14ac:dyDescent="0.25">
      <c r="A306" s="22" t="str">
        <f t="shared" si="8"/>
        <v>Zhang</v>
      </c>
      <c r="B306" s="23">
        <v>6594</v>
      </c>
      <c r="C306" s="27">
        <v>45867</v>
      </c>
      <c r="D306" t="s">
        <v>388</v>
      </c>
      <c r="E306" s="89" t="str">
        <f t="shared" si="9"/>
        <v xml:space="preserve">SYD APRT EPARK </v>
      </c>
      <c r="F306" s="21">
        <v>169.51</v>
      </c>
    </row>
    <row r="307" spans="1:7" ht="13.5" thickBot="1" x14ac:dyDescent="0.25">
      <c r="A307" s="22" t="str">
        <f t="shared" si="8"/>
        <v>Zhang</v>
      </c>
      <c r="B307" s="23">
        <v>6594</v>
      </c>
      <c r="C307" s="27">
        <v>45867</v>
      </c>
      <c r="D307" t="s">
        <v>160</v>
      </c>
      <c r="E307" s="89" t="str">
        <f t="shared" si="9"/>
        <v>Airport Shuttle</v>
      </c>
      <c r="F307" s="21">
        <v>90</v>
      </c>
    </row>
    <row r="308" spans="1:7" ht="13.5" thickBot="1" x14ac:dyDescent="0.25">
      <c r="A308" s="22"/>
      <c r="B308" s="22"/>
      <c r="C308" s="27"/>
      <c r="E308" s="89" t="str">
        <f t="shared" si="9"/>
        <v/>
      </c>
    </row>
    <row r="309" spans="1:7" x14ac:dyDescent="0.2">
      <c r="A309" s="22"/>
      <c r="B309" s="22"/>
      <c r="C309" s="27"/>
    </row>
    <row r="310" spans="1:7" x14ac:dyDescent="0.2">
      <c r="A310" s="22"/>
      <c r="B310" s="22"/>
      <c r="C310" s="27"/>
    </row>
    <row r="311" spans="1:7" x14ac:dyDescent="0.2">
      <c r="A311" s="22"/>
      <c r="B311" s="22"/>
      <c r="C311" s="27"/>
    </row>
    <row r="312" spans="1:7" x14ac:dyDescent="0.2">
      <c r="A312" s="22"/>
      <c r="B312" s="23"/>
      <c r="C312" s="27"/>
      <c r="D312" s="23"/>
      <c r="E312" s="23"/>
      <c r="F312" s="28"/>
      <c r="G312" s="28"/>
    </row>
    <row r="313" spans="1:7" x14ac:dyDescent="0.2">
      <c r="A313" s="22"/>
      <c r="B313" s="23"/>
      <c r="C313" s="27"/>
    </row>
    <row r="314" spans="1:7" x14ac:dyDescent="0.2">
      <c r="A314" s="22"/>
      <c r="B314" s="23"/>
      <c r="C314" s="27"/>
    </row>
    <row r="315" spans="1:7" x14ac:dyDescent="0.2">
      <c r="A315" s="22"/>
      <c r="B315" s="23"/>
      <c r="C315" s="27"/>
    </row>
    <row r="316" spans="1:7" x14ac:dyDescent="0.2">
      <c r="A316" s="22"/>
      <c r="B316" s="23"/>
      <c r="C316" s="27"/>
    </row>
    <row r="317" spans="1:7" x14ac:dyDescent="0.2">
      <c r="A317" s="22"/>
      <c r="B317" s="23"/>
      <c r="C317" s="27"/>
    </row>
    <row r="318" spans="1:7" x14ac:dyDescent="0.2">
      <c r="A318" s="22"/>
      <c r="B318" s="23"/>
      <c r="C318" s="27"/>
    </row>
    <row r="319" spans="1:7" x14ac:dyDescent="0.2">
      <c r="A319" s="22"/>
      <c r="B319" s="23"/>
      <c r="C319" s="27"/>
    </row>
    <row r="320" spans="1:7" x14ac:dyDescent="0.2">
      <c r="A320" s="22"/>
      <c r="B320" s="23"/>
      <c r="C320" s="27"/>
    </row>
    <row r="321" spans="1:3" x14ac:dyDescent="0.2">
      <c r="A321" s="22"/>
      <c r="B321" s="23"/>
      <c r="C321" s="27"/>
    </row>
    <row r="322" spans="1:3" x14ac:dyDescent="0.2">
      <c r="A322" s="22"/>
      <c r="B322" s="23"/>
      <c r="C322" s="27"/>
    </row>
    <row r="323" spans="1:3" x14ac:dyDescent="0.2">
      <c r="A323" s="22"/>
      <c r="B323" s="23"/>
      <c r="C323" s="27"/>
    </row>
    <row r="324" spans="1:3" x14ac:dyDescent="0.2">
      <c r="A324" s="22"/>
      <c r="B324" s="23"/>
      <c r="C324" s="27"/>
    </row>
    <row r="325" spans="1:3" x14ac:dyDescent="0.2">
      <c r="A325" s="22"/>
      <c r="B325" s="23"/>
      <c r="C325" s="27"/>
    </row>
    <row r="326" spans="1:3" x14ac:dyDescent="0.2">
      <c r="A326" s="22"/>
      <c r="B326" s="23"/>
      <c r="C326" s="27"/>
    </row>
    <row r="327" spans="1:3" x14ac:dyDescent="0.2">
      <c r="A327" s="22"/>
      <c r="B327" s="23"/>
      <c r="C327" s="27"/>
    </row>
    <row r="328" spans="1:3" x14ac:dyDescent="0.2">
      <c r="A328" s="22"/>
      <c r="B328" s="23"/>
      <c r="C328" s="27"/>
    </row>
    <row r="329" spans="1:3" x14ac:dyDescent="0.2">
      <c r="A329" s="22"/>
      <c r="B329" s="23"/>
      <c r="C329" s="27"/>
    </row>
    <row r="330" spans="1:3" x14ac:dyDescent="0.2">
      <c r="A330" s="22"/>
      <c r="B330" s="23"/>
      <c r="C330" s="27"/>
    </row>
    <row r="331" spans="1:3" x14ac:dyDescent="0.2">
      <c r="A331" s="22"/>
      <c r="B331" s="23"/>
      <c r="C331" s="27"/>
    </row>
    <row r="332" spans="1:3" x14ac:dyDescent="0.2">
      <c r="A332" s="22"/>
      <c r="B332" s="23"/>
      <c r="C332" s="27"/>
    </row>
    <row r="333" spans="1:3" x14ac:dyDescent="0.2">
      <c r="A333" s="22"/>
      <c r="B333" s="23"/>
      <c r="C333" s="27"/>
    </row>
    <row r="334" spans="1:3" x14ac:dyDescent="0.2">
      <c r="A334" s="22"/>
      <c r="B334" s="23"/>
      <c r="C334" s="27"/>
    </row>
    <row r="335" spans="1:3" x14ac:dyDescent="0.2">
      <c r="A335" s="22"/>
      <c r="B335" s="23"/>
      <c r="C335" s="27"/>
    </row>
    <row r="336" spans="1:3" x14ac:dyDescent="0.2">
      <c r="A336" s="22"/>
      <c r="B336" s="23"/>
      <c r="C336" s="27"/>
    </row>
    <row r="337" spans="1:7" x14ac:dyDescent="0.2">
      <c r="A337" s="22"/>
      <c r="B337" s="23"/>
      <c r="C337" s="27"/>
    </row>
    <row r="338" spans="1:7" x14ac:dyDescent="0.2">
      <c r="A338" s="22"/>
      <c r="B338" s="23"/>
      <c r="C338" s="27"/>
    </row>
    <row r="339" spans="1:7" x14ac:dyDescent="0.2">
      <c r="A339" s="22"/>
      <c r="B339" s="23"/>
      <c r="C339" s="27"/>
    </row>
    <row r="340" spans="1:7" x14ac:dyDescent="0.2">
      <c r="A340" s="22"/>
      <c r="B340" s="23"/>
      <c r="C340" s="27"/>
    </row>
    <row r="341" spans="1:7" x14ac:dyDescent="0.2">
      <c r="A341" s="22"/>
      <c r="B341" s="22"/>
      <c r="C341" s="27"/>
    </row>
    <row r="342" spans="1:7" x14ac:dyDescent="0.2">
      <c r="A342" s="22"/>
      <c r="B342" s="23"/>
      <c r="C342" s="24"/>
      <c r="D342" s="23"/>
      <c r="E342" s="23"/>
      <c r="F342" s="28"/>
      <c r="G342" s="28"/>
    </row>
    <row r="343" spans="1:7" x14ac:dyDescent="0.2">
      <c r="A343" s="22"/>
      <c r="B343" s="23"/>
      <c r="C343" s="24"/>
      <c r="D343" s="23"/>
      <c r="E343" s="23"/>
      <c r="F343" s="28"/>
      <c r="G343" s="28"/>
    </row>
    <row r="344" spans="1:7" x14ac:dyDescent="0.2">
      <c r="A344" s="22"/>
      <c r="B344" s="23"/>
      <c r="C344" s="24"/>
      <c r="D344" s="23"/>
      <c r="E344" s="23"/>
      <c r="F344" s="28"/>
      <c r="G344" s="28"/>
    </row>
    <row r="345" spans="1:7" x14ac:dyDescent="0.2">
      <c r="A345" s="22"/>
      <c r="B345" s="23"/>
      <c r="C345" s="24"/>
      <c r="D345" s="23"/>
      <c r="E345" s="23"/>
      <c r="F345" s="28"/>
      <c r="G345" s="28"/>
    </row>
    <row r="346" spans="1:7" x14ac:dyDescent="0.2">
      <c r="A346" s="22"/>
      <c r="B346" s="23"/>
      <c r="C346" s="24"/>
      <c r="D346" s="23"/>
      <c r="E346" s="23"/>
      <c r="F346" s="28"/>
      <c r="G346" s="28"/>
    </row>
    <row r="347" spans="1:7" x14ac:dyDescent="0.2">
      <c r="A347" s="22"/>
      <c r="B347" s="22"/>
      <c r="C347" s="27"/>
    </row>
    <row r="348" spans="1:7" x14ac:dyDescent="0.2">
      <c r="A348" s="22"/>
      <c r="B348" s="23"/>
      <c r="C348" s="24"/>
      <c r="D348" s="23"/>
      <c r="E348" s="23"/>
      <c r="F348" s="28"/>
      <c r="G348" s="28"/>
    </row>
    <row r="349" spans="1:7" x14ac:dyDescent="0.2">
      <c r="A349" s="22"/>
      <c r="B349" s="23"/>
      <c r="C349" s="27"/>
      <c r="F349" s="28"/>
      <c r="G349" s="28"/>
    </row>
    <row r="350" spans="1:7" x14ac:dyDescent="0.2">
      <c r="A350" s="22"/>
      <c r="B350" s="23"/>
      <c r="C350" s="24"/>
      <c r="D350" s="23"/>
      <c r="E350" s="23"/>
      <c r="F350" s="28"/>
      <c r="G350" s="28"/>
    </row>
    <row r="351" spans="1:7" x14ac:dyDescent="0.2">
      <c r="A351" s="22"/>
      <c r="B351" s="23"/>
      <c r="C351" s="24"/>
      <c r="D351" s="23"/>
      <c r="E351" s="23"/>
      <c r="F351" s="28"/>
      <c r="G351" s="28"/>
    </row>
    <row r="352" spans="1:7" x14ac:dyDescent="0.2">
      <c r="A352" s="22"/>
      <c r="B352" s="23"/>
      <c r="C352" s="24"/>
      <c r="D352" s="23"/>
      <c r="E352" s="23"/>
      <c r="F352" s="28"/>
      <c r="G352" s="28"/>
    </row>
    <row r="353" spans="1:7" x14ac:dyDescent="0.2">
      <c r="A353" s="22"/>
      <c r="B353" s="22"/>
      <c r="C353" s="27"/>
    </row>
    <row r="354" spans="1:7" x14ac:dyDescent="0.2">
      <c r="A354" s="22"/>
      <c r="B354" s="22"/>
      <c r="C354" s="27"/>
    </row>
    <row r="355" spans="1:7" x14ac:dyDescent="0.2">
      <c r="A355" s="22"/>
      <c r="B355" s="23"/>
      <c r="C355" s="24"/>
      <c r="D355" s="23"/>
      <c r="E355" s="23"/>
      <c r="F355" s="28"/>
      <c r="G355" s="28"/>
    </row>
    <row r="356" spans="1:7" x14ac:dyDescent="0.2">
      <c r="A356" s="22"/>
      <c r="B356" s="22"/>
      <c r="C356" s="27"/>
    </row>
    <row r="357" spans="1:7" x14ac:dyDescent="0.2">
      <c r="A357" s="22"/>
      <c r="B357" s="22"/>
      <c r="C357" s="27"/>
    </row>
    <row r="358" spans="1:7" x14ac:dyDescent="0.2">
      <c r="A358" s="22"/>
      <c r="B358" s="22"/>
      <c r="C358" s="27"/>
    </row>
    <row r="359" spans="1:7" x14ac:dyDescent="0.2">
      <c r="A359" s="22"/>
      <c r="B359" s="23"/>
      <c r="C359" s="24"/>
      <c r="D359" s="23"/>
      <c r="E359" s="23"/>
      <c r="F359" s="28"/>
      <c r="G359" s="28"/>
    </row>
    <row r="360" spans="1:7" x14ac:dyDescent="0.2">
      <c r="A360" s="22"/>
      <c r="B360" s="22"/>
      <c r="C360" s="27"/>
    </row>
    <row r="361" spans="1:7" x14ac:dyDescent="0.2">
      <c r="A361" s="22"/>
      <c r="B361" s="22"/>
      <c r="C361" s="27"/>
    </row>
    <row r="362" spans="1:7" x14ac:dyDescent="0.2">
      <c r="A362" s="22"/>
      <c r="B362" s="22"/>
      <c r="C362" s="27"/>
    </row>
    <row r="363" spans="1:7" x14ac:dyDescent="0.2">
      <c r="A363" s="22"/>
      <c r="B363" s="22"/>
      <c r="C363" s="27"/>
    </row>
    <row r="364" spans="1:7" x14ac:dyDescent="0.2">
      <c r="A364" s="22"/>
      <c r="B364" s="23"/>
      <c r="C364" s="24"/>
      <c r="D364" s="23"/>
      <c r="E364" s="23"/>
      <c r="F364" s="28"/>
      <c r="G364" s="28"/>
    </row>
    <row r="365" spans="1:7" x14ac:dyDescent="0.2">
      <c r="A365" s="22"/>
      <c r="B365" s="23"/>
      <c r="C365" s="24"/>
      <c r="D365" s="23"/>
      <c r="E365" s="23"/>
      <c r="F365" s="28"/>
      <c r="G365" s="28"/>
    </row>
    <row r="366" spans="1:7" x14ac:dyDescent="0.2">
      <c r="A366" s="22"/>
      <c r="B366" s="23"/>
      <c r="C366" s="24"/>
      <c r="D366" s="23"/>
      <c r="E366" s="23"/>
      <c r="F366" s="28"/>
      <c r="G366" s="28"/>
    </row>
    <row r="367" spans="1:7" x14ac:dyDescent="0.2">
      <c r="A367" s="22"/>
      <c r="B367" s="23"/>
      <c r="C367" s="24"/>
      <c r="D367" s="23"/>
      <c r="E367" s="23"/>
      <c r="F367" s="28"/>
      <c r="G367" s="28"/>
    </row>
    <row r="368" spans="1:7" x14ac:dyDescent="0.2">
      <c r="A368" s="22"/>
      <c r="B368" s="22"/>
      <c r="C368" s="27"/>
    </row>
    <row r="369" spans="1:7" x14ac:dyDescent="0.2">
      <c r="A369" s="22"/>
      <c r="B369" s="22"/>
      <c r="C369" s="27"/>
    </row>
    <row r="370" spans="1:7" x14ac:dyDescent="0.2">
      <c r="A370" s="22"/>
      <c r="B370" s="23"/>
      <c r="C370" s="24"/>
      <c r="D370" s="23"/>
      <c r="E370" s="23"/>
      <c r="F370" s="28"/>
      <c r="G370" s="28"/>
    </row>
    <row r="371" spans="1:7" x14ac:dyDescent="0.2">
      <c r="A371" s="22"/>
      <c r="B371" s="23"/>
      <c r="C371" s="24"/>
      <c r="D371" s="23"/>
      <c r="E371" s="23"/>
      <c r="F371" s="28"/>
      <c r="G371" s="28"/>
    </row>
    <row r="372" spans="1:7" x14ac:dyDescent="0.2">
      <c r="A372" s="22"/>
      <c r="B372" s="23"/>
      <c r="C372" s="24"/>
      <c r="D372" s="23"/>
      <c r="E372" s="23"/>
      <c r="F372" s="28"/>
      <c r="G372" s="28"/>
    </row>
    <row r="373" spans="1:7" x14ac:dyDescent="0.2">
      <c r="A373" s="22"/>
      <c r="B373" s="23"/>
      <c r="C373" s="24"/>
      <c r="D373" s="23"/>
      <c r="E373" s="23"/>
      <c r="F373" s="28"/>
      <c r="G373" s="28"/>
    </row>
    <row r="374" spans="1:7" x14ac:dyDescent="0.2">
      <c r="A374" s="22"/>
      <c r="B374" s="23"/>
    </row>
    <row r="375" spans="1:7" x14ac:dyDescent="0.2">
      <c r="A375" s="22"/>
      <c r="B375" s="23"/>
      <c r="C375" s="24"/>
      <c r="D375" s="23"/>
      <c r="E375" s="23"/>
      <c r="F375" s="28"/>
      <c r="G375" s="28"/>
    </row>
    <row r="376" spans="1:7" x14ac:dyDescent="0.2">
      <c r="A376" s="22"/>
      <c r="B376" s="23"/>
      <c r="C376" s="24"/>
      <c r="D376" s="23"/>
      <c r="E376" s="23"/>
      <c r="F376" s="28"/>
      <c r="G376" s="28"/>
    </row>
    <row r="377" spans="1:7" x14ac:dyDescent="0.2">
      <c r="A377" s="22"/>
      <c r="B377" s="23"/>
      <c r="C377" s="24"/>
      <c r="D377" s="23"/>
      <c r="E377" s="23"/>
      <c r="F377" s="28"/>
      <c r="G377" s="28"/>
    </row>
    <row r="378" spans="1:7" x14ac:dyDescent="0.2">
      <c r="A378" s="22"/>
      <c r="B378" s="23"/>
    </row>
    <row r="379" spans="1:7" x14ac:dyDescent="0.2">
      <c r="A379" s="22"/>
      <c r="B379" s="22"/>
      <c r="C379" s="27"/>
    </row>
    <row r="380" spans="1:7" x14ac:dyDescent="0.2">
      <c r="A380" s="22"/>
      <c r="B380" s="23"/>
      <c r="C380" s="24"/>
      <c r="D380" s="23"/>
      <c r="E380" s="23"/>
      <c r="F380" s="28"/>
      <c r="G380" s="28"/>
    </row>
    <row r="381" spans="1:7" x14ac:dyDescent="0.2">
      <c r="A381" s="22"/>
      <c r="B381" s="23"/>
      <c r="C381" s="24"/>
      <c r="D381" s="23"/>
      <c r="E381" s="23"/>
      <c r="F381" s="28"/>
      <c r="G381" s="28"/>
    </row>
    <row r="382" spans="1:7" x14ac:dyDescent="0.2">
      <c r="A382" s="22"/>
      <c r="B382" s="23"/>
      <c r="C382" s="24"/>
      <c r="D382" s="23"/>
      <c r="E382" s="23"/>
      <c r="F382" s="28"/>
      <c r="G382" s="28"/>
    </row>
    <row r="383" spans="1:7" x14ac:dyDescent="0.2">
      <c r="A383" s="22"/>
      <c r="B383" s="23"/>
      <c r="C383" s="24"/>
      <c r="D383" s="23"/>
      <c r="E383" s="23"/>
      <c r="F383" s="28"/>
      <c r="G383" s="28"/>
    </row>
    <row r="384" spans="1:7" x14ac:dyDescent="0.2">
      <c r="A384" s="22"/>
      <c r="B384" s="23"/>
      <c r="C384" s="24"/>
      <c r="D384" s="23"/>
      <c r="E384" s="23"/>
      <c r="F384" s="28"/>
      <c r="G384" s="28"/>
    </row>
    <row r="385" spans="1:7" x14ac:dyDescent="0.2">
      <c r="A385" s="22"/>
      <c r="B385" s="23"/>
      <c r="C385" s="24"/>
      <c r="D385" s="23"/>
      <c r="E385" s="23"/>
      <c r="F385" s="28"/>
      <c r="G385" s="28"/>
    </row>
    <row r="386" spans="1:7" x14ac:dyDescent="0.2">
      <c r="A386" s="22"/>
      <c r="B386" s="23"/>
      <c r="C386" s="24"/>
      <c r="D386" s="23"/>
      <c r="E386" s="23"/>
      <c r="F386" s="28"/>
      <c r="G386" s="28"/>
    </row>
    <row r="387" spans="1:7" x14ac:dyDescent="0.2">
      <c r="A387" s="22"/>
      <c r="B387" s="23"/>
      <c r="C387" s="24"/>
      <c r="D387" s="23"/>
      <c r="E387" s="23"/>
      <c r="F387" s="28"/>
      <c r="G387" s="28"/>
    </row>
    <row r="388" spans="1:7" x14ac:dyDescent="0.2">
      <c r="A388" s="22"/>
      <c r="B388" s="23"/>
      <c r="C388" s="24"/>
      <c r="D388" s="23"/>
      <c r="E388" s="23"/>
      <c r="F388" s="28"/>
      <c r="G388" s="28"/>
    </row>
    <row r="389" spans="1:7" x14ac:dyDescent="0.2">
      <c r="A389" s="22"/>
      <c r="B389" s="23"/>
      <c r="C389" s="24"/>
      <c r="D389" s="23"/>
      <c r="E389" s="23"/>
      <c r="F389" s="28"/>
      <c r="G389" s="28"/>
    </row>
    <row r="390" spans="1:7" x14ac:dyDescent="0.2">
      <c r="A390" s="22"/>
      <c r="B390" s="23"/>
      <c r="C390" s="24"/>
      <c r="D390" s="23"/>
      <c r="E390" s="23"/>
      <c r="F390" s="28"/>
      <c r="G390" s="28"/>
    </row>
    <row r="391" spans="1:7" x14ac:dyDescent="0.2">
      <c r="A391" s="22"/>
      <c r="B391" s="22"/>
      <c r="C391" s="27"/>
    </row>
    <row r="392" spans="1:7" x14ac:dyDescent="0.2">
      <c r="A392" s="22"/>
      <c r="B392" s="23"/>
      <c r="C392" s="24"/>
      <c r="D392" s="23"/>
      <c r="E392" s="23"/>
      <c r="F392" s="28"/>
      <c r="G392" s="28"/>
    </row>
    <row r="393" spans="1:7" x14ac:dyDescent="0.2">
      <c r="A393" s="22"/>
      <c r="B393" s="22"/>
      <c r="C393" s="27"/>
    </row>
    <row r="394" spans="1:7" x14ac:dyDescent="0.2">
      <c r="A394" s="22"/>
      <c r="B394" s="22"/>
      <c r="C394" s="27"/>
    </row>
    <row r="395" spans="1:7" x14ac:dyDescent="0.2">
      <c r="A395" s="22"/>
      <c r="B395" s="22"/>
      <c r="C395" s="27"/>
    </row>
    <row r="396" spans="1:7" x14ac:dyDescent="0.2">
      <c r="A396" s="22"/>
      <c r="B396" s="22"/>
      <c r="C396" s="27"/>
    </row>
    <row r="397" spans="1:7" x14ac:dyDescent="0.2">
      <c r="A397" s="22"/>
      <c r="B397" s="23"/>
      <c r="C397" s="24"/>
      <c r="D397" s="23"/>
      <c r="E397" s="23"/>
      <c r="F397" s="28"/>
      <c r="G397" s="28"/>
    </row>
    <row r="398" spans="1:7" x14ac:dyDescent="0.2">
      <c r="A398" s="22"/>
      <c r="B398" s="22"/>
      <c r="C398" s="27"/>
    </row>
    <row r="399" spans="1:7" x14ac:dyDescent="0.2">
      <c r="A399" s="22"/>
      <c r="B399" s="22"/>
      <c r="C399" s="27"/>
    </row>
    <row r="400" spans="1:7" x14ac:dyDescent="0.2">
      <c r="A400" s="22"/>
      <c r="B400" s="23"/>
    </row>
    <row r="401" spans="1:7" x14ac:dyDescent="0.2">
      <c r="A401" s="22"/>
      <c r="B401" s="23"/>
      <c r="C401" s="24"/>
      <c r="D401" s="23"/>
      <c r="E401" s="23"/>
      <c r="F401" s="28"/>
      <c r="G401" s="28"/>
    </row>
    <row r="402" spans="1:7" x14ac:dyDescent="0.2">
      <c r="A402" s="22"/>
      <c r="B402" s="23"/>
      <c r="C402" s="24"/>
      <c r="D402" s="23"/>
      <c r="E402" s="23"/>
      <c r="F402" s="28"/>
      <c r="G402" s="28"/>
    </row>
    <row r="403" spans="1:7" x14ac:dyDescent="0.2">
      <c r="A403" s="22"/>
      <c r="B403" s="22"/>
      <c r="C403" s="27"/>
    </row>
    <row r="404" spans="1:7" x14ac:dyDescent="0.2">
      <c r="A404" s="22"/>
      <c r="B404" s="22"/>
      <c r="C404" s="27"/>
    </row>
    <row r="405" spans="1:7" x14ac:dyDescent="0.2">
      <c r="A405" s="22"/>
      <c r="B405" s="22"/>
      <c r="C405" s="27"/>
    </row>
    <row r="406" spans="1:7" x14ac:dyDescent="0.2">
      <c r="A406" s="22"/>
      <c r="B406" s="23"/>
      <c r="C406" s="24"/>
      <c r="D406" s="23"/>
      <c r="E406" s="23"/>
      <c r="F406" s="28"/>
      <c r="G406" s="28"/>
    </row>
    <row r="407" spans="1:7" x14ac:dyDescent="0.2">
      <c r="A407" s="22"/>
      <c r="B407" s="23"/>
      <c r="C407" s="24"/>
      <c r="D407" s="23"/>
      <c r="E407" s="23"/>
      <c r="F407" s="28"/>
      <c r="G407" s="28"/>
    </row>
    <row r="408" spans="1:7" x14ac:dyDescent="0.2">
      <c r="A408" s="22"/>
      <c r="B408" s="22"/>
      <c r="C408" s="27"/>
    </row>
    <row r="409" spans="1:7" x14ac:dyDescent="0.2">
      <c r="A409" s="22"/>
      <c r="B409" s="23"/>
      <c r="C409" s="24"/>
      <c r="D409" s="23"/>
      <c r="E409" s="23"/>
      <c r="F409" s="28"/>
      <c r="G409" s="28"/>
    </row>
    <row r="410" spans="1:7" x14ac:dyDescent="0.2">
      <c r="A410" s="22"/>
      <c r="B410" s="22"/>
      <c r="C410" s="27"/>
    </row>
    <row r="411" spans="1:7" x14ac:dyDescent="0.2">
      <c r="A411" s="22"/>
      <c r="B411" s="23"/>
      <c r="C411" s="24"/>
      <c r="D411" s="23"/>
      <c r="E411" s="23"/>
      <c r="F411" s="28"/>
      <c r="G411" s="28"/>
    </row>
    <row r="412" spans="1:7" x14ac:dyDescent="0.2">
      <c r="A412" s="22"/>
      <c r="B412" s="23"/>
      <c r="C412" s="24"/>
      <c r="D412" s="23"/>
      <c r="E412" s="23"/>
      <c r="F412" s="28"/>
      <c r="G412" s="28"/>
    </row>
    <row r="413" spans="1:7" x14ac:dyDescent="0.2">
      <c r="A413" s="22"/>
      <c r="B413" s="23"/>
      <c r="C413" s="24"/>
      <c r="D413" s="23"/>
      <c r="E413" s="23"/>
      <c r="F413" s="28"/>
      <c r="G413" s="28"/>
    </row>
    <row r="414" spans="1:7" x14ac:dyDescent="0.2">
      <c r="A414" s="22"/>
      <c r="B414" s="23"/>
      <c r="C414" s="24"/>
      <c r="D414" s="23"/>
      <c r="E414" s="23"/>
      <c r="F414" s="28"/>
      <c r="G414" s="28"/>
    </row>
    <row r="415" spans="1:7" x14ac:dyDescent="0.2">
      <c r="A415" s="22"/>
      <c r="B415" s="23"/>
      <c r="C415" s="24"/>
      <c r="D415" s="23"/>
      <c r="E415" s="23"/>
      <c r="F415" s="28"/>
      <c r="G415" s="28"/>
    </row>
    <row r="416" spans="1:7" x14ac:dyDescent="0.2">
      <c r="A416" s="22"/>
      <c r="B416" s="22"/>
      <c r="C416" s="27"/>
    </row>
    <row r="417" spans="1:7" x14ac:dyDescent="0.2">
      <c r="A417" s="22"/>
      <c r="B417" s="22"/>
      <c r="C417" s="27"/>
    </row>
    <row r="418" spans="1:7" x14ac:dyDescent="0.2">
      <c r="A418" s="22"/>
      <c r="B418" s="23"/>
      <c r="C418" s="24"/>
      <c r="D418" s="23"/>
      <c r="E418" s="23"/>
      <c r="F418" s="28"/>
      <c r="G418" s="28"/>
    </row>
    <row r="419" spans="1:7" x14ac:dyDescent="0.2">
      <c r="A419" s="22"/>
      <c r="B419" s="23"/>
      <c r="C419" s="24"/>
      <c r="D419" s="23"/>
      <c r="E419" s="23"/>
      <c r="F419" s="28"/>
      <c r="G419" s="28"/>
    </row>
    <row r="420" spans="1:7" x14ac:dyDescent="0.2">
      <c r="A420" s="22"/>
      <c r="B420" s="23"/>
      <c r="C420" s="27"/>
      <c r="F420" s="28"/>
      <c r="G420" s="28"/>
    </row>
    <row r="421" spans="1:7" x14ac:dyDescent="0.2">
      <c r="A421" s="22"/>
      <c r="B421" s="22"/>
      <c r="C421" s="27"/>
    </row>
    <row r="422" spans="1:7" x14ac:dyDescent="0.2">
      <c r="A422" s="22"/>
      <c r="B422" s="22"/>
      <c r="C422" s="27"/>
    </row>
    <row r="423" spans="1:7" x14ac:dyDescent="0.2">
      <c r="A423" s="22"/>
      <c r="B423" s="22"/>
      <c r="C423" s="27"/>
    </row>
    <row r="424" spans="1:7" x14ac:dyDescent="0.2">
      <c r="A424" s="22"/>
      <c r="B424" s="23"/>
    </row>
    <row r="425" spans="1:7" x14ac:dyDescent="0.2">
      <c r="A425" s="22"/>
      <c r="B425" s="22"/>
      <c r="C425" s="27"/>
    </row>
    <row r="426" spans="1:7" x14ac:dyDescent="0.2">
      <c r="A426" s="22"/>
      <c r="B426" s="22"/>
      <c r="C426" s="27"/>
    </row>
    <row r="427" spans="1:7" x14ac:dyDescent="0.2">
      <c r="A427" s="22"/>
      <c r="B427" s="23"/>
      <c r="C427" s="24"/>
      <c r="D427" s="23"/>
      <c r="E427" s="23"/>
      <c r="F427" s="28"/>
      <c r="G427" s="28"/>
    </row>
    <row r="428" spans="1:7" x14ac:dyDescent="0.2">
      <c r="A428" s="22"/>
      <c r="B428" s="23"/>
      <c r="C428" s="24"/>
      <c r="D428" s="23"/>
      <c r="E428" s="23"/>
      <c r="F428" s="28"/>
      <c r="G428" s="28"/>
    </row>
    <row r="429" spans="1:7" x14ac:dyDescent="0.2">
      <c r="A429" s="22"/>
      <c r="B429" s="23"/>
      <c r="C429" s="24"/>
      <c r="D429" s="23"/>
      <c r="E429" s="23"/>
      <c r="F429" s="28"/>
      <c r="G429" s="28"/>
    </row>
    <row r="430" spans="1:7" x14ac:dyDescent="0.2">
      <c r="A430" s="22"/>
      <c r="B430" s="23"/>
      <c r="C430" s="24"/>
      <c r="D430" s="23"/>
      <c r="E430" s="23"/>
      <c r="F430" s="28"/>
      <c r="G430" s="28"/>
    </row>
    <row r="431" spans="1:7" x14ac:dyDescent="0.2">
      <c r="A431" s="22"/>
      <c r="B431" s="23"/>
      <c r="C431" s="24"/>
      <c r="D431" s="23"/>
      <c r="E431" s="23"/>
      <c r="F431" s="28"/>
      <c r="G431" s="28"/>
    </row>
    <row r="432" spans="1:7" x14ac:dyDescent="0.2">
      <c r="A432" s="22"/>
      <c r="B432" s="23"/>
      <c r="C432" s="24"/>
      <c r="D432" s="23"/>
      <c r="E432" s="23"/>
      <c r="F432" s="28"/>
      <c r="G432" s="28"/>
    </row>
    <row r="433" spans="1:7" x14ac:dyDescent="0.2">
      <c r="A433" s="22"/>
      <c r="B433" s="23"/>
    </row>
    <row r="434" spans="1:7" x14ac:dyDescent="0.2">
      <c r="A434" s="22"/>
      <c r="B434" s="22"/>
      <c r="C434" s="27"/>
    </row>
    <row r="435" spans="1:7" x14ac:dyDescent="0.2">
      <c r="A435" s="22"/>
      <c r="B435" s="23"/>
      <c r="C435" s="24"/>
      <c r="D435" s="23"/>
      <c r="E435" s="23"/>
      <c r="F435" s="28"/>
      <c r="G435" s="28"/>
    </row>
    <row r="436" spans="1:7" x14ac:dyDescent="0.2">
      <c r="A436" s="22"/>
      <c r="B436" s="22"/>
      <c r="C436" s="27"/>
    </row>
    <row r="437" spans="1:7" x14ac:dyDescent="0.2">
      <c r="A437" s="22"/>
      <c r="B437" s="23"/>
      <c r="C437" s="24"/>
      <c r="D437" s="23"/>
      <c r="E437" s="23"/>
      <c r="F437" s="28"/>
      <c r="G437" s="28"/>
    </row>
    <row r="438" spans="1:7" x14ac:dyDescent="0.2">
      <c r="A438" s="22"/>
      <c r="B438" s="23"/>
      <c r="C438" s="24"/>
      <c r="D438" s="23"/>
      <c r="E438" s="23"/>
      <c r="F438" s="28"/>
      <c r="G438" s="28"/>
    </row>
    <row r="439" spans="1:7" x14ac:dyDescent="0.2">
      <c r="A439" s="22"/>
      <c r="B439" s="23"/>
      <c r="C439" s="24"/>
      <c r="D439" s="23"/>
      <c r="E439" s="23"/>
      <c r="F439" s="28"/>
      <c r="G439" s="28"/>
    </row>
    <row r="440" spans="1:7" x14ac:dyDescent="0.2">
      <c r="A440" s="22"/>
      <c r="B440" s="23"/>
      <c r="C440" s="24"/>
      <c r="D440" s="23"/>
      <c r="E440" s="23"/>
      <c r="F440" s="28"/>
      <c r="G440" s="28"/>
    </row>
    <row r="441" spans="1:7" x14ac:dyDescent="0.2">
      <c r="A441" s="22"/>
      <c r="B441" s="23"/>
      <c r="C441" s="24"/>
      <c r="D441" s="23"/>
      <c r="E441" s="23"/>
      <c r="F441" s="28"/>
      <c r="G441" s="28"/>
    </row>
    <row r="442" spans="1:7" x14ac:dyDescent="0.2">
      <c r="A442" s="22"/>
      <c r="B442" s="23"/>
      <c r="C442" s="24"/>
      <c r="D442" s="23"/>
      <c r="E442" s="23"/>
      <c r="F442" s="28"/>
      <c r="G442" s="28"/>
    </row>
    <row r="443" spans="1:7" x14ac:dyDescent="0.2">
      <c r="A443" s="22"/>
      <c r="B443" s="22"/>
      <c r="C443" s="27"/>
    </row>
    <row r="444" spans="1:7" x14ac:dyDescent="0.2">
      <c r="A444" s="22"/>
      <c r="B444" s="22"/>
      <c r="C444" s="27"/>
    </row>
    <row r="445" spans="1:7" x14ac:dyDescent="0.2">
      <c r="A445" s="22"/>
      <c r="B445" s="22"/>
      <c r="C445" s="27"/>
    </row>
    <row r="446" spans="1:7" x14ac:dyDescent="0.2">
      <c r="A446" s="22"/>
      <c r="B446" s="23"/>
      <c r="C446" s="24"/>
      <c r="D446" s="23"/>
      <c r="E446" s="23"/>
      <c r="F446" s="28"/>
      <c r="G446" s="28"/>
    </row>
    <row r="447" spans="1:7" x14ac:dyDescent="0.2">
      <c r="A447" s="22"/>
      <c r="B447" s="23"/>
      <c r="C447" s="24"/>
      <c r="D447" s="23"/>
      <c r="E447" s="23"/>
      <c r="F447" s="28"/>
      <c r="G447" s="28"/>
    </row>
    <row r="448" spans="1:7" x14ac:dyDescent="0.2">
      <c r="A448" s="22"/>
      <c r="B448" s="22"/>
      <c r="C448" s="27"/>
    </row>
    <row r="449" spans="1:3" x14ac:dyDescent="0.2">
      <c r="A449" s="22"/>
      <c r="B449" s="22"/>
      <c r="C449" s="27"/>
    </row>
    <row r="450" spans="1:3" x14ac:dyDescent="0.2">
      <c r="A450" s="22"/>
      <c r="B450" s="22"/>
      <c r="C450" s="27"/>
    </row>
    <row r="451" spans="1:3" x14ac:dyDescent="0.2">
      <c r="A451" s="22"/>
      <c r="B451" s="23"/>
      <c r="C451" s="24"/>
    </row>
    <row r="452" spans="1:3" x14ac:dyDescent="0.2">
      <c r="A452" s="22"/>
      <c r="B452" s="23"/>
      <c r="C452" s="24"/>
    </row>
    <row r="453" spans="1:3" x14ac:dyDescent="0.2">
      <c r="A453" s="22"/>
      <c r="B453" s="23"/>
      <c r="C453" s="24"/>
    </row>
    <row r="454" spans="1:3" x14ac:dyDescent="0.2">
      <c r="A454" s="22"/>
      <c r="B454" s="23"/>
      <c r="C454" s="24"/>
    </row>
    <row r="455" spans="1:3" x14ac:dyDescent="0.2">
      <c r="A455" s="22"/>
      <c r="B455" s="23"/>
      <c r="C455" s="24"/>
    </row>
    <row r="456" spans="1:3" x14ac:dyDescent="0.2">
      <c r="A456" s="22"/>
      <c r="B456" s="23"/>
      <c r="C456" s="24"/>
    </row>
    <row r="457" spans="1:3" x14ac:dyDescent="0.2">
      <c r="A457" s="22"/>
      <c r="B457" s="23"/>
      <c r="C457" s="24"/>
    </row>
    <row r="458" spans="1:3" x14ac:dyDescent="0.2">
      <c r="A458" s="22"/>
      <c r="B458" s="23"/>
      <c r="C458" s="24"/>
    </row>
    <row r="459" spans="1:3" x14ac:dyDescent="0.2">
      <c r="A459" s="22"/>
      <c r="B459" s="23"/>
      <c r="C459" s="24"/>
    </row>
    <row r="460" spans="1:3" x14ac:dyDescent="0.2">
      <c r="A460" s="22"/>
      <c r="B460" s="23"/>
      <c r="C460" s="24"/>
    </row>
    <row r="461" spans="1:3" x14ac:dyDescent="0.2">
      <c r="A461" s="22"/>
      <c r="B461" s="23"/>
      <c r="C461" s="24"/>
    </row>
    <row r="462" spans="1:3" x14ac:dyDescent="0.2">
      <c r="A462" s="22"/>
      <c r="B462" s="23"/>
      <c r="C462" s="24"/>
    </row>
    <row r="463" spans="1:3" x14ac:dyDescent="0.2">
      <c r="A463" s="22"/>
      <c r="B463" s="23"/>
      <c r="C463" s="24"/>
    </row>
    <row r="464" spans="1:3" x14ac:dyDescent="0.2">
      <c r="A464" s="22"/>
      <c r="B464" s="23"/>
      <c r="C464" s="24"/>
    </row>
    <row r="465" spans="1:3" x14ac:dyDescent="0.2">
      <c r="A465" s="22"/>
      <c r="B465" s="23"/>
      <c r="C465" s="24"/>
    </row>
    <row r="466" spans="1:3" x14ac:dyDescent="0.2">
      <c r="A466" s="22"/>
      <c r="B466" s="23"/>
      <c r="C466" s="24"/>
    </row>
  </sheetData>
  <autoFilter ref="A1:G466" xr:uid="{00000000-0001-0000-2100-000000000000}">
    <sortState xmlns:xlrd2="http://schemas.microsoft.com/office/spreadsheetml/2017/richdata2" ref="A2:G466">
      <sortCondition ref="A1:A466"/>
    </sortState>
  </autoFilter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ECF3B-64F2-4881-A56A-12D1E6B49F5D}">
  <dimension ref="A1:H47"/>
  <sheetViews>
    <sheetView topLeftCell="A14" workbookViewId="0">
      <selection activeCell="A47" sqref="A47"/>
    </sheetView>
  </sheetViews>
  <sheetFormatPr defaultColWidth="17.140625" defaultRowHeight="12.75" x14ac:dyDescent="0.2"/>
  <cols>
    <col min="1" max="1" width="21.42578125" customWidth="1"/>
  </cols>
  <sheetData>
    <row r="1" spans="1:8" ht="15.75" thickBot="1" x14ac:dyDescent="0.25">
      <c r="A1" s="30" t="s">
        <v>424</v>
      </c>
      <c r="B1" s="31"/>
      <c r="C1" s="42"/>
      <c r="D1" s="43"/>
      <c r="E1" s="31"/>
      <c r="F1" s="31"/>
    </row>
    <row r="2" spans="1:8" ht="15.75" thickBot="1" x14ac:dyDescent="0.3">
      <c r="A2" s="29"/>
      <c r="B2" s="29"/>
      <c r="C2" s="29"/>
      <c r="D2" s="29"/>
      <c r="E2" s="29"/>
      <c r="F2" s="29"/>
    </row>
    <row r="3" spans="1:8" ht="30.75" thickBot="1" x14ac:dyDescent="0.25">
      <c r="A3" s="32" t="s">
        <v>25</v>
      </c>
      <c r="B3" s="33" t="s">
        <v>3</v>
      </c>
      <c r="C3" s="33" t="s">
        <v>26</v>
      </c>
      <c r="D3" s="33" t="s">
        <v>27</v>
      </c>
      <c r="E3" s="34" t="s">
        <v>28</v>
      </c>
      <c r="F3" s="34" t="s">
        <v>29</v>
      </c>
      <c r="G3" s="34" t="s">
        <v>425</v>
      </c>
    </row>
    <row r="4" spans="1:8" ht="15" x14ac:dyDescent="0.2">
      <c r="A4" s="39" t="s">
        <v>426</v>
      </c>
      <c r="B4" s="39" t="s">
        <v>427</v>
      </c>
      <c r="C4" s="39" t="s">
        <v>32</v>
      </c>
      <c r="D4" s="40">
        <v>900</v>
      </c>
      <c r="E4" s="39" t="s">
        <v>33</v>
      </c>
      <c r="F4" s="36"/>
      <c r="G4" s="22">
        <v>1.3</v>
      </c>
      <c r="H4" t="s">
        <v>34</v>
      </c>
    </row>
    <row r="5" spans="1:8" ht="15" x14ac:dyDescent="0.2">
      <c r="A5" s="39" t="s">
        <v>428</v>
      </c>
      <c r="B5" s="39" t="s">
        <v>427</v>
      </c>
      <c r="C5" s="39" t="s">
        <v>32</v>
      </c>
      <c r="D5" s="40">
        <v>450</v>
      </c>
      <c r="E5" s="39" t="s">
        <v>150</v>
      </c>
      <c r="F5" s="36"/>
      <c r="G5" s="22"/>
    </row>
    <row r="6" spans="1:8" ht="15" x14ac:dyDescent="0.2">
      <c r="A6" s="41">
        <v>110849995900</v>
      </c>
      <c r="B6" s="39" t="s">
        <v>427</v>
      </c>
      <c r="C6" s="39" t="s">
        <v>32</v>
      </c>
      <c r="D6" s="40">
        <v>600</v>
      </c>
      <c r="E6" s="39" t="s">
        <v>33</v>
      </c>
      <c r="F6" s="36"/>
    </row>
    <row r="7" spans="1:8" ht="15" x14ac:dyDescent="0.2">
      <c r="A7" s="41">
        <v>199999991140</v>
      </c>
      <c r="B7" s="39" t="s">
        <v>427</v>
      </c>
      <c r="C7" s="39" t="s">
        <v>32</v>
      </c>
      <c r="D7" s="40">
        <v>50</v>
      </c>
      <c r="E7" s="39" t="s">
        <v>150</v>
      </c>
      <c r="F7" s="36"/>
    </row>
    <row r="8" spans="1:8" ht="15.75" thickBot="1" x14ac:dyDescent="0.25">
      <c r="A8" s="38"/>
      <c r="B8" s="35"/>
      <c r="C8" s="35"/>
      <c r="D8" s="37"/>
      <c r="E8" s="36"/>
      <c r="F8" s="36"/>
    </row>
    <row r="9" spans="1:8" ht="15.75" thickBot="1" x14ac:dyDescent="0.25">
      <c r="A9" s="38"/>
      <c r="B9" s="35"/>
      <c r="C9" s="35"/>
      <c r="D9" s="37"/>
      <c r="E9" s="36"/>
      <c r="F9" s="36"/>
    </row>
    <row r="10" spans="1:8" ht="15.75" thickBot="1" x14ac:dyDescent="0.25">
      <c r="A10" s="38"/>
      <c r="B10" s="35"/>
      <c r="C10" s="35"/>
      <c r="D10" s="37"/>
      <c r="E10" s="36"/>
      <c r="F10" s="36"/>
    </row>
    <row r="11" spans="1:8" ht="15.75" thickBot="1" x14ac:dyDescent="0.25">
      <c r="A11" s="38"/>
      <c r="B11" s="35"/>
      <c r="C11" s="35"/>
      <c r="D11" s="37"/>
      <c r="E11" s="36"/>
      <c r="F11" s="36"/>
    </row>
    <row r="12" spans="1:8" ht="15.75" thickBot="1" x14ac:dyDescent="0.25">
      <c r="A12" s="38"/>
      <c r="B12" s="35"/>
      <c r="C12" s="35"/>
      <c r="D12" s="37"/>
      <c r="E12" s="36"/>
      <c r="F12" s="36"/>
    </row>
    <row r="13" spans="1:8" ht="15.75" thickBot="1" x14ac:dyDescent="0.25">
      <c r="A13" s="38"/>
      <c r="B13" s="35"/>
      <c r="C13" s="35"/>
      <c r="D13" s="37"/>
      <c r="E13" s="36"/>
      <c r="F13" s="36"/>
    </row>
    <row r="14" spans="1:8" ht="15.75" thickBot="1" x14ac:dyDescent="0.25">
      <c r="A14" s="38"/>
      <c r="B14" s="35"/>
      <c r="C14" s="35"/>
      <c r="D14" s="37"/>
      <c r="E14" s="36"/>
      <c r="F14" s="36"/>
    </row>
    <row r="38" spans="1:1" x14ac:dyDescent="0.2">
      <c r="A38" t="s">
        <v>429</v>
      </c>
    </row>
    <row r="40" spans="1:1" x14ac:dyDescent="0.2">
      <c r="A40" t="s">
        <v>430</v>
      </c>
    </row>
    <row r="41" spans="1:1" x14ac:dyDescent="0.2">
      <c r="A41" t="s">
        <v>431</v>
      </c>
    </row>
    <row r="42" spans="1:1" x14ac:dyDescent="0.2">
      <c r="A42" t="s">
        <v>432</v>
      </c>
    </row>
    <row r="43" spans="1:1" x14ac:dyDescent="0.2">
      <c r="A43" t="s">
        <v>433</v>
      </c>
    </row>
    <row r="44" spans="1:1" x14ac:dyDescent="0.2">
      <c r="A44" t="s">
        <v>434</v>
      </c>
    </row>
    <row r="45" spans="1:1" x14ac:dyDescent="0.2">
      <c r="A45" t="s">
        <v>435</v>
      </c>
    </row>
    <row r="46" spans="1:1" x14ac:dyDescent="0.2">
      <c r="A46" t="s">
        <v>436</v>
      </c>
    </row>
    <row r="47" spans="1:1" x14ac:dyDescent="0.2">
      <c r="A47" t="s">
        <v>437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986C469866E14789E51B5EAB27C93C" ma:contentTypeVersion="19" ma:contentTypeDescription="Create a new document." ma:contentTypeScope="" ma:versionID="6020443df5f2330f413b86a3ea0c01b5">
  <xsd:schema xmlns:xsd="http://www.w3.org/2001/XMLSchema" xmlns:xs="http://www.w3.org/2001/XMLSchema" xmlns:p="http://schemas.microsoft.com/office/2006/metadata/properties" xmlns:ns2="b673c067-ecee-4dcc-ad54-f515852d8361" xmlns:ns3="c995557f-ce4b-45b5-902b-666ef79ab1aa" targetNamespace="http://schemas.microsoft.com/office/2006/metadata/properties" ma:root="true" ma:fieldsID="b0c9284070825620ba683442c926e275" ns2:_="" ns3:_="">
    <xsd:import namespace="b673c067-ecee-4dcc-ad54-f515852d8361"/>
    <xsd:import namespace="c995557f-ce4b-45b5-902b-666ef79ab1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3c067-ecee-4dcc-ad54-f515852d83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f73e81e-4733-4d9c-bca0-b9e78ff3c5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95557f-ce4b-45b5-902b-666ef79ab1a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d89e578-1be7-413a-ab82-d4d83f1cfd38}" ma:internalName="TaxCatchAll" ma:showField="CatchAllData" ma:web="c995557f-ce4b-45b5-902b-666ef79ab1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673c067-ecee-4dcc-ad54-f515852d8361">
      <Terms xmlns="http://schemas.microsoft.com/office/infopath/2007/PartnerControls"/>
    </lcf76f155ced4ddcb4097134ff3c332f>
    <TaxCatchAll xmlns="c995557f-ce4b-45b5-902b-666ef79ab1aa" xsi:nil="true"/>
  </documentManagement>
</p:properties>
</file>

<file path=customXml/itemProps1.xml><?xml version="1.0" encoding="utf-8"?>
<ds:datastoreItem xmlns:ds="http://schemas.openxmlformats.org/officeDocument/2006/customXml" ds:itemID="{AC16D6A8-4AEA-419B-88DB-C2EB32E48B30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C1E88755-62FA-46D2-B29C-8BDA73E93FC4}"/>
</file>

<file path=customXml/itemProps3.xml><?xml version="1.0" encoding="utf-8"?>
<ds:datastoreItem xmlns:ds="http://schemas.openxmlformats.org/officeDocument/2006/customXml" ds:itemID="{0A045CD3-FFCB-4461-90C4-424D6B65B7F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CDB4A2B-42A4-4C18-99C7-FBFD3E5066A9}">
  <ds:schemaRefs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2006/metadata/properties"/>
    <ds:schemaRef ds:uri="http://purl.org/dc/dcmitype/"/>
    <ds:schemaRef ds:uri="http://schemas.openxmlformats.org/package/2006/metadata/core-properties"/>
    <ds:schemaRef ds:uri="01aeec9e-b4af-4940-a17a-d744b60bdd9c"/>
    <ds:schemaRef ds:uri="01cde82f-0f55-4f15-91fd-6bd32f2623c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Header</vt:lpstr>
      <vt:lpstr>T Bell</vt:lpstr>
      <vt:lpstr>S Baker</vt:lpstr>
      <vt:lpstr>S Barclay</vt:lpstr>
      <vt:lpstr>M Brown</vt:lpstr>
      <vt:lpstr>M Donadio</vt:lpstr>
      <vt:lpstr>L DUva</vt:lpstr>
      <vt:lpstr>A Edmondston</vt:lpstr>
      <vt:lpstr>M Gort</vt:lpstr>
      <vt:lpstr>N Grigg</vt:lpstr>
      <vt:lpstr>S Jenkins</vt:lpstr>
      <vt:lpstr>A Lanyon</vt:lpstr>
      <vt:lpstr>E Lewis-Gray</vt:lpstr>
      <vt:lpstr>S Lewis-Gray</vt:lpstr>
      <vt:lpstr>W Lodge</vt:lpstr>
      <vt:lpstr>S McLaughlin</vt:lpstr>
      <vt:lpstr>M Ntombela</vt:lpstr>
      <vt:lpstr>M Prendergast</vt:lpstr>
      <vt:lpstr>C Torney</vt:lpstr>
      <vt:lpstr>B Tuncks</vt:lpstr>
      <vt:lpstr>K Rouhan</vt:lpstr>
      <vt:lpstr>M Trenorden</vt:lpstr>
      <vt:lpstr>L VanKollenburg</vt:lpstr>
      <vt:lpstr>B Wraith</vt:lpstr>
      <vt:lpstr>N Zhang</vt:lpstr>
      <vt:lpstr>Full Data</vt:lpstr>
      <vt:lpstr>Pronto layout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Patrice Ryan</dc:creator>
  <cp:keywords/>
  <dc:description/>
  <cp:lastModifiedBy>Eloise Earl</cp:lastModifiedBy>
  <cp:revision/>
  <dcterms:created xsi:type="dcterms:W3CDTF">2013-02-13T04:39:52Z</dcterms:created>
  <dcterms:modified xsi:type="dcterms:W3CDTF">2025-09-15T23:04:20Z</dcterms:modified>
  <cp:category/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0x010100B2986C469866E14789E51B5EAB27C93C</vt:lpwstr>
  </property>
  <property fmtid="{D5CDD505-2E9C-101B-9397-08002B2CF9AE}" pid="3" name="_dlc_DocIdItemGuid">
    <vt:lpwstr>8076a149-2ecd-4583-9ae4-b0daf04db0f8</vt:lpwstr>
  </property>
  <property fmtid="{D5CDD505-2E9C-101B-9397-08002B2CF9AE}" pid="4" name="Year">
    <vt:lpwstr>486;#2018|8d538a7b-200b-44e8-9318-21df0adf56b4</vt:lpwstr>
  </property>
  <property fmtid="{D5CDD505-2E9C-101B-9397-08002B2CF9AE}" pid="5" name="Offices">
    <vt:lpwstr/>
  </property>
  <property fmtid="{D5CDD505-2E9C-101B-9397-08002B2CF9AE}" pid="6" name="Month">
    <vt:lpwstr>122;#Not Applicable|50736fad-bef9-4321-afb7-cc19e28c1d12</vt:lpwstr>
  </property>
  <property fmtid="{D5CDD505-2E9C-101B-9397-08002B2CF9AE}" pid="7" name="Gekko_x0020_Teams">
    <vt:lpwstr>19;#Finance|cfbbc26a-1484-4f0c-9dda-276dcb436460</vt:lpwstr>
  </property>
  <property fmtid="{D5CDD505-2E9C-101B-9397-08002B2CF9AE}" pid="8" name="Gekko Teams">
    <vt:lpwstr>19</vt:lpwstr>
  </property>
  <property fmtid="{D5CDD505-2E9C-101B-9397-08002B2CF9AE}" pid="9" name="Document_x0020_Type">
    <vt:lpwstr/>
  </property>
  <property fmtid="{D5CDD505-2E9C-101B-9397-08002B2CF9AE}" pid="10" name="Doc_x0020_Type_x0020__x002d__x0020_Finance">
    <vt:lpwstr/>
  </property>
  <property fmtid="{D5CDD505-2E9C-101B-9397-08002B2CF9AE}" pid="11" name="Doc Type - Finance">
    <vt:lpwstr/>
  </property>
  <property fmtid="{D5CDD505-2E9C-101B-9397-08002B2CF9AE}" pid="12" name="Document Type">
    <vt:lpwstr/>
  </property>
  <property fmtid="{D5CDD505-2E9C-101B-9397-08002B2CF9AE}" pid="13" name="lda3ffd6885045c9ba5dc69ced59e2d9">
    <vt:lpwstr/>
  </property>
  <property fmtid="{D5CDD505-2E9C-101B-9397-08002B2CF9AE}" pid="14" name="DocumentSetDescription">
    <vt:lpwstr/>
  </property>
  <property fmtid="{D5CDD505-2E9C-101B-9397-08002B2CF9AE}" pid="15" name="Client Name">
    <vt:lpwstr/>
  </property>
  <property fmtid="{D5CDD505-2E9C-101B-9397-08002B2CF9AE}" pid="16" name="Client Site">
    <vt:lpwstr/>
  </property>
  <property fmtid="{D5CDD505-2E9C-101B-9397-08002B2CF9AE}" pid="17" name="c39e5600916e44c786356a8a2ec8c581">
    <vt:lpwstr/>
  </property>
  <property fmtid="{D5CDD505-2E9C-101B-9397-08002B2CF9AE}" pid="18" name="_ExtendedDescription">
    <vt:lpwstr/>
  </property>
  <property fmtid="{D5CDD505-2E9C-101B-9397-08002B2CF9AE}" pid="19" name="MediaServiceImageTags">
    <vt:lpwstr/>
  </property>
  <property fmtid="{D5CDD505-2E9C-101B-9397-08002B2CF9AE}" pid="20" name="MSIP_Label_885ce22c-a480-4f73-9075-953421410eff_Enabled">
    <vt:lpwstr>true</vt:lpwstr>
  </property>
  <property fmtid="{D5CDD505-2E9C-101B-9397-08002B2CF9AE}" pid="21" name="MSIP_Label_885ce22c-a480-4f73-9075-953421410eff_SetDate">
    <vt:lpwstr>2025-03-14T03:07:39Z</vt:lpwstr>
  </property>
  <property fmtid="{D5CDD505-2E9C-101B-9397-08002B2CF9AE}" pid="22" name="MSIP_Label_885ce22c-a480-4f73-9075-953421410eff_Method">
    <vt:lpwstr>Standard</vt:lpwstr>
  </property>
  <property fmtid="{D5CDD505-2E9C-101B-9397-08002B2CF9AE}" pid="23" name="MSIP_Label_885ce22c-a480-4f73-9075-953421410eff_Name">
    <vt:lpwstr>General</vt:lpwstr>
  </property>
  <property fmtid="{D5CDD505-2E9C-101B-9397-08002B2CF9AE}" pid="24" name="MSIP_Label_885ce22c-a480-4f73-9075-953421410eff_SiteId">
    <vt:lpwstr>5943a691-21ec-4575-99ae-290823822966</vt:lpwstr>
  </property>
  <property fmtid="{D5CDD505-2E9C-101B-9397-08002B2CF9AE}" pid="25" name="MSIP_Label_885ce22c-a480-4f73-9075-953421410eff_ActionId">
    <vt:lpwstr>932b68bf-1af8-4d73-83c4-6f25118e0a15</vt:lpwstr>
  </property>
  <property fmtid="{D5CDD505-2E9C-101B-9397-08002B2CF9AE}" pid="26" name="MSIP_Label_885ce22c-a480-4f73-9075-953421410eff_ContentBits">
    <vt:lpwstr>0</vt:lpwstr>
  </property>
  <property fmtid="{D5CDD505-2E9C-101B-9397-08002B2CF9AE}" pid="27" name="MSIP_Label_885ce22c-a480-4f73-9075-953421410eff_Tag">
    <vt:lpwstr>10, 3, 0, 1</vt:lpwstr>
  </property>
</Properties>
</file>